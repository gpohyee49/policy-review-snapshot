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" sheetId="2" state="visible" r:id="rId2"/>
    <sheet xmlns:r="http://schemas.openxmlformats.org/officeDocument/2006/relationships" name="Policies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6B3FA0"/>
      <sz val="16"/>
    </font>
    <font>
      <i val="1"/>
      <color rgb="007A6A8C"/>
      <sz val="10"/>
    </font>
    <font>
      <b val="1"/>
    </font>
    <font>
      <b val="1"/>
      <color rgb="00FFFFFF"/>
    </font>
    <font>
      <b val="1"/>
      <color rgb="00D94F8C"/>
      <sz val="12"/>
    </font>
    <font>
      <i val="1"/>
      <color rgb="007A6A8C"/>
      <sz val="9"/>
    </font>
    <font>
      <i val="1"/>
      <color rgb="007A6A8C"/>
    </font>
    <font>
      <b val="1"/>
      <color rgb="006B3FA0"/>
      <sz val="14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6B3FA0"/>
      </patternFill>
    </fill>
    <fill>
      <patternFill patternType="solid">
        <fgColor rgb="00F3ECFA"/>
      </patternFill>
    </fill>
    <fill>
      <patternFill patternType="solid">
        <fgColor rgb="00D94F8C"/>
      </patternFill>
    </fill>
  </fills>
  <borders count="2">
    <border>
      <left/>
      <right/>
      <top/>
      <bottom/>
      <diagonal/>
    </border>
    <border>
      <left style="thin">
        <color rgb="00D9CDE8"/>
      </left>
      <right style="thin">
        <color rgb="00D9CDE8"/>
      </right>
      <top style="thin">
        <color rgb="00D9CDE8"/>
      </top>
      <bottom style="thin">
        <color rgb="00D9CD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3" borderId="1" pivotButton="0" quotePrefix="0" xfId="0"/>
    <xf numFmtId="3" fontId="0" fillId="3" borderId="1" pivotButton="0" quotePrefix="0" xfId="0"/>
    <xf numFmtId="3" fontId="3" fillId="0" borderId="1" pivotButton="0" quotePrefix="0" xfId="0"/>
    <xf numFmtId="3" fontId="0" fillId="0" borderId="1" pivotButton="0" quotePrefix="0" xfId="0"/>
    <xf numFmtId="0" fontId="5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0" fillId="3" borderId="1" pivotButton="0" quotePrefix="0" xfId="0"/>
    <xf numFmtId="0" fontId="7" fillId="0" borderId="0" pivotButton="0" quotePrefix="0" xfId="0"/>
    <xf numFmtId="9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  <xf numFmtId="3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Existing vs review standard (RM)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'Dashboard'!B5</f>
            </strRef>
          </tx>
          <spPr>
            <a:solidFill xmlns:a="http://schemas.openxmlformats.org/drawingml/2006/main">
              <a:srgbClr val="6B3FA0"/>
            </a:solidFill>
            <a:ln xmlns:a="http://schemas.openxmlformats.org/drawingml/2006/main">
              <a:prstDash val="solid"/>
            </a:ln>
          </spPr>
          <cat>
            <numRef>
              <f>'Dashboard'!$A$6:$A$9</f>
            </numRef>
          </cat>
          <val>
            <numRef>
              <f>'Dashboard'!$B$6:$B$9</f>
            </numRef>
          </val>
        </ser>
        <ser>
          <idx val="1"/>
          <order val="1"/>
          <tx>
            <strRef>
              <f>'Dashboard'!C5</f>
            </strRef>
          </tx>
          <spPr>
            <a:solidFill xmlns:a="http://schemas.openxmlformats.org/drawingml/2006/main">
              <a:srgbClr val="E9B8D0"/>
            </a:solidFill>
            <a:ln xmlns:a="http://schemas.openxmlformats.org/drawingml/2006/main">
              <a:prstDash val="solid"/>
            </a:ln>
          </spPr>
          <cat>
            <numRef>
              <f>'Dashboard'!$A$6:$A$9</f>
            </numRef>
          </cat>
          <val>
            <numRef>
              <f>'Dashboard'!$C$6:$C$9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94F8C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4" customWidth="1" min="6" max="6"/>
  </cols>
  <sheetData>
    <row r="1">
      <c r="A1" s="1" t="inlineStr">
        <is>
          <t>Policy Review Snapshot  保单检视摘要</t>
        </is>
      </c>
    </row>
    <row r="2">
      <c r="A2" s="2" t="inlineStr">
        <is>
          <t>Auto-calculated from 'Client' and 'Policies'. Only INFORCE policies count toward coverage.</t>
        </is>
      </c>
    </row>
    <row r="3">
      <c r="A3" s="3" t="inlineStr">
        <is>
          <t>Client 客户:</t>
        </is>
      </c>
      <c r="B3">
        <f>Client!B4</f>
        <v/>
      </c>
      <c r="D3" s="3" t="inlineStr">
        <is>
          <t>Review date 检视日期:</t>
        </is>
      </c>
      <c r="E3" s="4">
        <f>Client!B8</f>
        <v/>
      </c>
    </row>
    <row r="5">
      <c r="A5" s="5" t="inlineStr">
        <is>
          <t>Coverage area  保障类别</t>
        </is>
      </c>
      <c r="B5" s="5" t="inlineStr">
        <is>
          <t>Existing 现有 (RM)</t>
        </is>
      </c>
      <c r="C5" s="5" t="inlineStr">
        <is>
          <t>Standard 标准 (RM)</t>
        </is>
      </c>
      <c r="D5" s="5" t="inlineStr">
        <is>
          <t>Gap 差距 (RM)</t>
        </is>
      </c>
      <c r="E5" s="5" t="inlineStr">
        <is>
          <t>Status 状态</t>
        </is>
      </c>
    </row>
    <row r="6">
      <c r="A6" s="6" t="inlineStr">
        <is>
          <t>Life / Death  身故</t>
        </is>
      </c>
      <c r="B6" s="7">
        <f>SUMIFS(Policies!$L$2:$L$100,Policies!$G$2:$G$100,"Inforce")</f>
        <v/>
      </c>
      <c r="C6" s="7">
        <f>Client!B12</f>
        <v/>
      </c>
      <c r="D6" s="7">
        <f>MAX(0,C6-B6)</f>
        <v/>
      </c>
      <c r="E6" s="7">
        <f>IF(C6=0,"-",IF(B6&gt;=C6,"✔ On track 已达标","▲ Review 可加强"))</f>
        <v/>
      </c>
    </row>
    <row r="7">
      <c r="A7" s="8" t="inlineStr">
        <is>
          <t>TPD  完全永久残疾</t>
        </is>
      </c>
      <c r="B7" s="9">
        <f>SUMIFS(Policies!$M$2:$M$100,Policies!$G$2:$G$100,"Inforce")</f>
        <v/>
      </c>
      <c r="C7" s="9">
        <f>Client!B13</f>
        <v/>
      </c>
      <c r="D7" s="9">
        <f>MAX(0,C7-B7)</f>
        <v/>
      </c>
      <c r="E7" s="9">
        <f>IF(C7=0,"-",IF(B7&gt;=C7,"✔ On track 已达标","▲ Review 可加强"))</f>
        <v/>
      </c>
    </row>
    <row r="8">
      <c r="A8" s="6" t="inlineStr">
        <is>
          <t>Critical Illness  严重疾病</t>
        </is>
      </c>
      <c r="B8" s="7">
        <f>SUMIFS(Policies!$N$2:$N$100,Policies!$G$2:$G$100,"Inforce")</f>
        <v/>
      </c>
      <c r="C8" s="7">
        <f>Client!B14</f>
        <v/>
      </c>
      <c r="D8" s="7">
        <f>MAX(0,C8-B8)</f>
        <v/>
      </c>
      <c r="E8" s="7">
        <f>IF(C8=0,"-",IF(B8&gt;=C8,"✔ On track 已达标","▲ Review 可加强"))</f>
        <v/>
      </c>
    </row>
    <row r="9">
      <c r="A9" s="8" t="inlineStr">
        <is>
          <t>Retirement fund (plans + EPF + PRS)  退休金</t>
        </is>
      </c>
      <c r="B9" s="9">
        <f>SUMIFS(Policies!$Y$2:$Y$100,Policies!$G$2:$G$100,"Inforce")+N(Client!B21)+N(Client!B22)</f>
        <v/>
      </c>
      <c r="C9" s="9">
        <f>Client!B15</f>
        <v/>
      </c>
      <c r="D9" s="9">
        <f>MAX(0,C9-B9)</f>
        <v/>
      </c>
      <c r="E9" s="9">
        <f>IF(C9=0,"-",IF(B9&gt;=C9,"✔ On track 已达标","▲ Review 可加强"))</f>
        <v/>
      </c>
    </row>
    <row r="10">
      <c r="A10" s="6" t="inlineStr">
        <is>
          <t>Medical annual limit (highest)  医药年限</t>
        </is>
      </c>
      <c r="B10" s="7">
        <f>_xlfn.MAXIFS(Policies!$P$2:$P$100,Policies!$G$2:$G$100,"Inforce")</f>
        <v/>
      </c>
      <c r="C10" s="7">
        <f>Client!B16</f>
        <v/>
      </c>
      <c r="D10" s="7">
        <f>MAX(0,C10-B10)</f>
        <v/>
      </c>
      <c r="E10" s="7">
        <f>IF(C10=0,"-",IF(B10&gt;=C10,"✔ On track 已达标","▲ Review 可加强"))</f>
        <v/>
      </c>
    </row>
    <row r="11">
      <c r="A11" s="8" t="inlineStr">
        <is>
          <t>Room &amp; board (RM/day)  房租</t>
        </is>
      </c>
      <c r="B11" s="9">
        <f>_xlfn.MAXIFS(Policies!$Q$2:$Q$100,Policies!$G$2:$G$100,"Inforce")</f>
        <v/>
      </c>
      <c r="C11" s="9">
        <f>Client!B17</f>
        <v/>
      </c>
      <c r="D11" s="9">
        <f>MAX(0,C11-B11)</f>
        <v/>
      </c>
      <c r="E11" s="9">
        <f>IF(C11=0,"-",IF(B11&gt;=C11,"✔ On track 已达标","▲ Review 可加强"))</f>
        <v/>
      </c>
    </row>
    <row r="12">
      <c r="A12" s="6" t="inlineStr">
        <is>
          <t>Personal Accident  意外</t>
        </is>
      </c>
      <c r="B12" s="7">
        <f>SUMIFS(Policies!$R$2:$R$100,Policies!$G$2:$G$100,"Inforce")</f>
        <v/>
      </c>
      <c r="C12" s="7" t="inlineStr">
        <is>
          <t>-</t>
        </is>
      </c>
      <c r="D12" s="7" t="inlineStr">
        <is>
          <t>-</t>
        </is>
      </c>
      <c r="E12" s="7" t="inlineStr">
        <is>
          <t>No standard set</t>
        </is>
      </c>
    </row>
    <row r="14">
      <c r="A14" s="10" t="inlineStr">
        <is>
          <t>Premium  保费</t>
        </is>
      </c>
    </row>
    <row r="15">
      <c r="A15" s="3" t="inlineStr">
        <is>
          <t>Total annual premium (inforce)  年缴总保费</t>
        </is>
      </c>
      <c r="B15" s="9">
        <f>SUMIFS(Policies!$Z$2:$Z$100,Policies!$G$2:$G$100,"Inforce")</f>
        <v/>
      </c>
    </row>
    <row r="16">
      <c r="A16" s="3" t="inlineStr">
        <is>
          <t>Monthly equivalent  每月相当于</t>
        </is>
      </c>
      <c r="B16" s="9">
        <f>B15/12</f>
        <v/>
      </c>
    </row>
    <row r="17">
      <c r="A17" s="3" t="inlineStr">
        <is>
          <t>% of annual income  占年收入</t>
        </is>
      </c>
      <c r="B17" s="11">
        <f>IF(Client!B6&gt;0,B15/Client!B6,0)</f>
        <v/>
      </c>
    </row>
    <row r="18">
      <c r="A18" s="3" t="inlineStr">
        <is>
          <t>Premium budget  保费预算</t>
        </is>
      </c>
      <c r="B18" s="11">
        <f>Client!B18</f>
        <v/>
      </c>
    </row>
    <row r="20">
      <c r="A20" s="10" t="inlineStr">
        <is>
          <t>Housekeeping  资料检查</t>
        </is>
      </c>
    </row>
    <row r="21">
      <c r="A21" s="3" t="inlineStr">
        <is>
          <t>Inforce policies  有效保单</t>
        </is>
      </c>
      <c r="B21" s="12">
        <f>COUNTIFS(Policies!$G$2:$G$100,"Inforce")</f>
        <v/>
      </c>
    </row>
    <row r="22">
      <c r="A22" s="3" t="inlineStr">
        <is>
          <t>Not inforce (excluded)  非有效保单</t>
        </is>
      </c>
      <c r="B22" s="12">
        <f>COUNTA(Policies!$A$2:$A$100)-B21</f>
        <v/>
      </c>
    </row>
    <row r="23">
      <c r="A23" s="3" t="inlineStr">
        <is>
          <t>Inforce without nominee  未提名</t>
        </is>
      </c>
      <c r="B23" s="12">
        <f>COUNTIFS(Policies!$G$2:$G$100,"Inforce",Policies!$T$2:$T$100,"",Policies!$A$2:$A$100,"&lt;&gt;")</f>
        <v/>
      </c>
    </row>
    <row r="41">
      <c r="A41" s="13" t="inlineStr">
        <is>
          <t>Disclaimer: Summary based on policy information provided as at review date. Benefits are subject to the terms of each policy contract. Review standards are planning benchmarks, not recommendations or official figures.</t>
        </is>
      </c>
    </row>
    <row r="42"/>
    <row r="43"/>
  </sheetData>
  <mergeCells count="1">
    <mergeCell ref="A41:E4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40" customWidth="1" min="3" max="3"/>
  </cols>
  <sheetData>
    <row r="1">
      <c r="A1" s="1" t="inlineStr">
        <is>
          <t>Client Info  客户资料</t>
        </is>
      </c>
    </row>
    <row r="2">
      <c r="A2" s="2" t="inlineStr">
        <is>
          <t>Fill column B. Review standards are YOUR planning benchmarks, not official figures.</t>
        </is>
      </c>
    </row>
    <row r="4">
      <c r="A4" s="3" t="inlineStr">
        <is>
          <t>Client Name</t>
        </is>
      </c>
      <c r="B4" s="14" t="n"/>
    </row>
    <row r="5">
      <c r="A5" s="3" t="inlineStr">
        <is>
          <t>Age</t>
        </is>
      </c>
      <c r="B5" s="14" t="n"/>
    </row>
    <row r="6">
      <c r="A6" s="3" t="inlineStr">
        <is>
          <t>Annual Income (RM)</t>
        </is>
      </c>
      <c r="B6" s="7" t="n"/>
    </row>
    <row r="7">
      <c r="A7" s="3" t="inlineStr">
        <is>
          <t>No. of Dependants</t>
        </is>
      </c>
      <c r="B7" s="14" t="n"/>
    </row>
    <row r="8">
      <c r="A8" s="3" t="inlineStr">
        <is>
          <t>Review Date</t>
        </is>
      </c>
      <c r="B8" s="14" t="n"/>
    </row>
    <row r="9">
      <c r="A9" s="3" t="inlineStr">
        <is>
          <t>Prepared By</t>
        </is>
      </c>
      <c r="B9" s="14" t="n"/>
    </row>
    <row r="11">
      <c r="A11" s="10" t="inlineStr">
        <is>
          <t>Review standard  检视标准</t>
        </is>
      </c>
    </row>
    <row r="12">
      <c r="A12" s="3" t="inlineStr">
        <is>
          <t>Life cover target (RM)</t>
        </is>
      </c>
      <c r="B12" s="7" t="n">
        <v>1000000</v>
      </c>
      <c r="C12" s="15" t="inlineStr">
        <is>
          <t>Review standard</t>
        </is>
      </c>
    </row>
    <row r="13">
      <c r="A13" s="3" t="inlineStr">
        <is>
          <t>TPD cover target (RM)</t>
        </is>
      </c>
      <c r="B13" s="7" t="n"/>
      <c r="C13" s="15" t="inlineStr">
        <is>
          <t>Leave blank if no TPD standard</t>
        </is>
      </c>
    </row>
    <row r="14">
      <c r="A14" s="3" t="inlineStr">
        <is>
          <t>CI cover target (RM)</t>
        </is>
      </c>
      <c r="B14" s="7" t="n">
        <v>1000000</v>
      </c>
      <c r="C14" s="15" t="inlineStr">
        <is>
          <t>Review standard</t>
        </is>
      </c>
    </row>
    <row r="15">
      <c r="A15" s="3" t="inlineStr">
        <is>
          <t>Retirement target (RM)</t>
        </is>
      </c>
      <c r="B15" s="7" t="n">
        <v>1000000</v>
      </c>
      <c r="C15" s="15" t="inlineStr">
        <is>
          <t>Review standard</t>
        </is>
      </c>
    </row>
    <row r="16">
      <c r="A16" s="3" t="inlineStr">
        <is>
          <t>Medical annual limit target (RM)</t>
        </is>
      </c>
      <c r="B16" s="7" t="n">
        <v>1000000</v>
      </c>
      <c r="C16" s="15" t="inlineStr">
        <is>
          <t>Review standard</t>
        </is>
      </c>
    </row>
    <row r="17">
      <c r="A17" s="3" t="inlineStr">
        <is>
          <t>Room &amp; board target (RM/day)</t>
        </is>
      </c>
      <c r="B17" s="7" t="n">
        <v>200</v>
      </c>
      <c r="C17" s="15" t="inlineStr">
        <is>
          <t>Adjust per client</t>
        </is>
      </c>
    </row>
    <row r="18">
      <c r="A18" s="3" t="inlineStr">
        <is>
          <t>Premium budget (% of income)</t>
        </is>
      </c>
      <c r="B18" s="16" t="n">
        <v>0.1</v>
      </c>
      <c r="C18" s="15" t="inlineStr">
        <is>
          <t>Adjust per client</t>
        </is>
      </c>
    </row>
    <row r="20">
      <c r="A20" s="10" t="inlineStr">
        <is>
          <t>Retirement savings  退休储蓄</t>
        </is>
      </c>
    </row>
    <row r="21">
      <c r="A21" s="3" t="inlineStr">
        <is>
          <t>EPF / KWSP balance (RM)</t>
        </is>
      </c>
      <c r="B21" s="7" t="n"/>
      <c r="C21" s="15" t="inlineStr">
        <is>
          <t>Latest statement / i-Akaun</t>
        </is>
      </c>
    </row>
    <row r="22">
      <c r="A22" s="3" t="inlineStr">
        <is>
          <t>PRS balance (RM)</t>
        </is>
      </c>
      <c r="B22" s="7" t="n"/>
      <c r="C22" s="15" t="inlineStr">
        <is>
          <t>Latest PRS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3FA0"/>
    <outlinePr summaryBelow="1" summaryRight="1"/>
    <pageSetUpPr/>
  </sheetPr>
  <dimension ref="A1:Z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20" customWidth="1" min="5" max="5"/>
    <col width="20" customWidth="1" min="6" max="6"/>
    <col width="11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5" customWidth="1" min="16" max="16"/>
    <col width="13" customWidth="1" min="17" max="17"/>
    <col width="14" customWidth="1" min="18" max="18"/>
    <col width="11" customWidth="1" min="19" max="19"/>
    <col width="22" customWidth="1" min="20" max="20"/>
    <col width="14" customWidth="1" min="21" max="21"/>
    <col width="14" customWidth="1" min="22" max="22"/>
    <col width="30" customWidth="1" min="23" max="23"/>
    <col width="28" customWidth="1" min="24" max="24"/>
    <col width="15" customWidth="1" min="25" max="25"/>
    <col width="14" customWidth="1" min="26" max="26"/>
  </cols>
  <sheetData>
    <row r="1" ht="42" customHeight="1">
      <c r="A1" s="17" t="inlineStr">
        <is>
          <t>Policy No</t>
        </is>
      </c>
      <c r="B1" s="17" t="inlineStr">
        <is>
          <t>Insurer</t>
        </is>
      </c>
      <c r="C1" s="17" t="inlineStr">
        <is>
          <t>Plan Name</t>
        </is>
      </c>
      <c r="D1" s="17" t="inlineStr">
        <is>
          <t>Policy Type</t>
        </is>
      </c>
      <c r="E1" s="17" t="inlineStr">
        <is>
          <t>Life Assured</t>
        </is>
      </c>
      <c r="F1" s="17" t="inlineStr">
        <is>
          <t>Policy Owner</t>
        </is>
      </c>
      <c r="G1" s="17" t="inlineStr">
        <is>
          <t>Status</t>
        </is>
      </c>
      <c r="H1" s="17" t="inlineStr">
        <is>
          <t>Commencement Date</t>
        </is>
      </c>
      <c r="I1" s="17" t="inlineStr">
        <is>
          <t>Expiry Date</t>
        </is>
      </c>
      <c r="J1" s="17" t="inlineStr">
        <is>
          <t>Premium (RM)</t>
        </is>
      </c>
      <c r="K1" s="17" t="inlineStr">
        <is>
          <t>Payment Mode</t>
        </is>
      </c>
      <c r="L1" s="17" t="inlineStr">
        <is>
          <t>Death (RM)</t>
        </is>
      </c>
      <c r="M1" s="17" t="inlineStr">
        <is>
          <t>TPD (RM)</t>
        </is>
      </c>
      <c r="N1" s="17" t="inlineStr">
        <is>
          <t>Critical Illness (RM)</t>
        </is>
      </c>
      <c r="O1" s="17" t="inlineStr">
        <is>
          <t>Early CI (RM)</t>
        </is>
      </c>
      <c r="P1" s="17" t="inlineStr">
        <is>
          <t>Medical Annual Limit (RM)</t>
        </is>
      </c>
      <c r="Q1" s="17" t="inlineStr">
        <is>
          <t>Room &amp; Board (RM/day)</t>
        </is>
      </c>
      <c r="R1" s="17" t="inlineStr">
        <is>
          <t>Personal Accident (RM)</t>
        </is>
      </c>
      <c r="S1" s="17" t="inlineStr">
        <is>
          <t>Waiver of Premium</t>
        </is>
      </c>
      <c r="T1" s="17" t="inlineStr">
        <is>
          <t>Nominee Name</t>
        </is>
      </c>
      <c r="U1" s="17" t="inlineStr">
        <is>
          <t>Nominee Relationship</t>
        </is>
      </c>
      <c r="V1" s="17" t="inlineStr">
        <is>
          <t>Nomination Type</t>
        </is>
      </c>
      <c r="W1" s="17" t="inlineStr">
        <is>
          <t>Purpose</t>
        </is>
      </c>
      <c r="X1" s="17" t="inlineStr">
        <is>
          <t>Notes</t>
        </is>
      </c>
      <c r="Y1" s="17" t="inlineStr">
        <is>
          <t>Retirement Fund (RM)</t>
        </is>
      </c>
      <c r="Z1" s="18" t="inlineStr">
        <is>
          <t>Annual Premium (auto)</t>
        </is>
      </c>
    </row>
    <row r="2">
      <c r="Z2" s="19">
        <f>IF(J2="","",IFERROR(VALUE(SUBSTITUTE(SUBSTITUTE(J2,"RM",""),",",""))*IFERROR(INDEX({12,4,2,1,1},MATCH(K2,{"Monthly","Quarterly","Half-yearly","Yearly","Single"},0)),0),0))</f>
        <v/>
      </c>
    </row>
    <row r="3">
      <c r="Z3" s="19">
        <f>IF(J3="","",IFERROR(VALUE(SUBSTITUTE(SUBSTITUTE(J3,"RM",""),",",""))*IFERROR(INDEX({12,4,2,1,1},MATCH(K3,{"Monthly","Quarterly","Half-yearly","Yearly","Single"},0)),0),0))</f>
        <v/>
      </c>
    </row>
    <row r="4">
      <c r="Z4" s="19">
        <f>IF(J4="","",IFERROR(VALUE(SUBSTITUTE(SUBSTITUTE(J4,"RM",""),",",""))*IFERROR(INDEX({12,4,2,1,1},MATCH(K4,{"Monthly","Quarterly","Half-yearly","Yearly","Single"},0)),0),0))</f>
        <v/>
      </c>
    </row>
    <row r="5">
      <c r="Z5" s="19">
        <f>IF(J5="","",IFERROR(VALUE(SUBSTITUTE(SUBSTITUTE(J5,"RM",""),",",""))*IFERROR(INDEX({12,4,2,1,1},MATCH(K5,{"Monthly","Quarterly","Half-yearly","Yearly","Single"},0)),0),0))</f>
        <v/>
      </c>
    </row>
    <row r="6">
      <c r="Z6" s="19">
        <f>IF(J6="","",IFERROR(VALUE(SUBSTITUTE(SUBSTITUTE(J6,"RM",""),",",""))*IFERROR(INDEX({12,4,2,1,1},MATCH(K6,{"Monthly","Quarterly","Half-yearly","Yearly","Single"},0)),0),0))</f>
        <v/>
      </c>
    </row>
    <row r="7">
      <c r="Z7" s="19">
        <f>IF(J7="","",IFERROR(VALUE(SUBSTITUTE(SUBSTITUTE(J7,"RM",""),",",""))*IFERROR(INDEX({12,4,2,1,1},MATCH(K7,{"Monthly","Quarterly","Half-yearly","Yearly","Single"},0)),0),0))</f>
        <v/>
      </c>
    </row>
    <row r="8">
      <c r="Z8" s="19">
        <f>IF(J8="","",IFERROR(VALUE(SUBSTITUTE(SUBSTITUTE(J8,"RM",""),",",""))*IFERROR(INDEX({12,4,2,1,1},MATCH(K8,{"Monthly","Quarterly","Half-yearly","Yearly","Single"},0)),0),0))</f>
        <v/>
      </c>
    </row>
    <row r="9">
      <c r="Z9" s="19">
        <f>IF(J9="","",IFERROR(VALUE(SUBSTITUTE(SUBSTITUTE(J9,"RM",""),",",""))*IFERROR(INDEX({12,4,2,1,1},MATCH(K9,{"Monthly","Quarterly","Half-yearly","Yearly","Single"},0)),0),0))</f>
        <v/>
      </c>
    </row>
    <row r="10">
      <c r="Z10" s="19">
        <f>IF(J10="","",IFERROR(VALUE(SUBSTITUTE(SUBSTITUTE(J10,"RM",""),",",""))*IFERROR(INDEX({12,4,2,1,1},MATCH(K10,{"Monthly","Quarterly","Half-yearly","Yearly","Single"},0)),0),0))</f>
        <v/>
      </c>
    </row>
    <row r="11">
      <c r="Z11" s="19">
        <f>IF(J11="","",IFERROR(VALUE(SUBSTITUTE(SUBSTITUTE(J11,"RM",""),",",""))*IFERROR(INDEX({12,4,2,1,1},MATCH(K11,{"Monthly","Quarterly","Half-yearly","Yearly","Single"},0)),0),0))</f>
        <v/>
      </c>
    </row>
    <row r="12">
      <c r="Z12" s="19">
        <f>IF(J12="","",IFERROR(VALUE(SUBSTITUTE(SUBSTITUTE(J12,"RM",""),",",""))*IFERROR(INDEX({12,4,2,1,1},MATCH(K12,{"Monthly","Quarterly","Half-yearly","Yearly","Single"},0)),0),0))</f>
        <v/>
      </c>
    </row>
    <row r="13">
      <c r="Z13" s="19">
        <f>IF(J13="","",IFERROR(VALUE(SUBSTITUTE(SUBSTITUTE(J13,"RM",""),",",""))*IFERROR(INDEX({12,4,2,1,1},MATCH(K13,{"Monthly","Quarterly","Half-yearly","Yearly","Single"},0)),0),0))</f>
        <v/>
      </c>
    </row>
    <row r="14">
      <c r="Z14" s="19">
        <f>IF(J14="","",IFERROR(VALUE(SUBSTITUTE(SUBSTITUTE(J14,"RM",""),",",""))*IFERROR(INDEX({12,4,2,1,1},MATCH(K14,{"Monthly","Quarterly","Half-yearly","Yearly","Single"},0)),0),0))</f>
        <v/>
      </c>
    </row>
    <row r="15">
      <c r="Z15" s="19">
        <f>IF(J15="","",IFERROR(VALUE(SUBSTITUTE(SUBSTITUTE(J15,"RM",""),",",""))*IFERROR(INDEX({12,4,2,1,1},MATCH(K15,{"Monthly","Quarterly","Half-yearly","Yearly","Single"},0)),0),0))</f>
        <v/>
      </c>
    </row>
    <row r="16">
      <c r="Z16" s="19">
        <f>IF(J16="","",IFERROR(VALUE(SUBSTITUTE(SUBSTITUTE(J16,"RM",""),",",""))*IFERROR(INDEX({12,4,2,1,1},MATCH(K16,{"Monthly","Quarterly","Half-yearly","Yearly","Single"},0)),0),0))</f>
        <v/>
      </c>
    </row>
    <row r="17">
      <c r="Z17" s="19">
        <f>IF(J17="","",IFERROR(VALUE(SUBSTITUTE(SUBSTITUTE(J17,"RM",""),",",""))*IFERROR(INDEX({12,4,2,1,1},MATCH(K17,{"Monthly","Quarterly","Half-yearly","Yearly","Single"},0)),0),0))</f>
        <v/>
      </c>
    </row>
    <row r="18">
      <c r="Z18" s="19">
        <f>IF(J18="","",IFERROR(VALUE(SUBSTITUTE(SUBSTITUTE(J18,"RM",""),",",""))*IFERROR(INDEX({12,4,2,1,1},MATCH(K18,{"Monthly","Quarterly","Half-yearly","Yearly","Single"},0)),0),0))</f>
        <v/>
      </c>
    </row>
    <row r="19">
      <c r="Z19" s="19">
        <f>IF(J19="","",IFERROR(VALUE(SUBSTITUTE(SUBSTITUTE(J19,"RM",""),",",""))*IFERROR(INDEX({12,4,2,1,1},MATCH(K19,{"Monthly","Quarterly","Half-yearly","Yearly","Single"},0)),0),0))</f>
        <v/>
      </c>
    </row>
    <row r="20">
      <c r="Z20" s="19">
        <f>IF(J20="","",IFERROR(VALUE(SUBSTITUTE(SUBSTITUTE(J20,"RM",""),",",""))*IFERROR(INDEX({12,4,2,1,1},MATCH(K20,{"Monthly","Quarterly","Half-yearly","Yearly","Single"},0)),0),0))</f>
        <v/>
      </c>
    </row>
    <row r="21">
      <c r="Z21" s="19">
        <f>IF(J21="","",IFERROR(VALUE(SUBSTITUTE(SUBSTITUTE(J21,"RM",""),",",""))*IFERROR(INDEX({12,4,2,1,1},MATCH(K21,{"Monthly","Quarterly","Half-yearly","Yearly","Single"},0)),0),0))</f>
        <v/>
      </c>
    </row>
    <row r="22">
      <c r="Z22" s="19">
        <f>IF(J22="","",IFERROR(VALUE(SUBSTITUTE(SUBSTITUTE(J22,"RM",""),",",""))*IFERROR(INDEX({12,4,2,1,1},MATCH(K22,{"Monthly","Quarterly","Half-yearly","Yearly","Single"},0)),0),0))</f>
        <v/>
      </c>
    </row>
    <row r="23">
      <c r="Z23" s="19">
        <f>IF(J23="","",IFERROR(VALUE(SUBSTITUTE(SUBSTITUTE(J23,"RM",""),",",""))*IFERROR(INDEX({12,4,2,1,1},MATCH(K23,{"Monthly","Quarterly","Half-yearly","Yearly","Single"},0)),0),0))</f>
        <v/>
      </c>
    </row>
    <row r="24">
      <c r="Z24" s="19">
        <f>IF(J24="","",IFERROR(VALUE(SUBSTITUTE(SUBSTITUTE(J24,"RM",""),",",""))*IFERROR(INDEX({12,4,2,1,1},MATCH(K24,{"Monthly","Quarterly","Half-yearly","Yearly","Single"},0)),0),0))</f>
        <v/>
      </c>
    </row>
    <row r="25">
      <c r="Z25" s="19">
        <f>IF(J25="","",IFERROR(VALUE(SUBSTITUTE(SUBSTITUTE(J25,"RM",""),",",""))*IFERROR(INDEX({12,4,2,1,1},MATCH(K25,{"Monthly","Quarterly","Half-yearly","Yearly","Single"},0)),0),0))</f>
        <v/>
      </c>
    </row>
    <row r="26">
      <c r="Z26" s="19">
        <f>IF(J26="","",IFERROR(VALUE(SUBSTITUTE(SUBSTITUTE(J26,"RM",""),",",""))*IFERROR(INDEX({12,4,2,1,1},MATCH(K26,{"Monthly","Quarterly","Half-yearly","Yearly","Single"},0)),0),0))</f>
        <v/>
      </c>
    </row>
    <row r="27">
      <c r="Z27" s="19">
        <f>IF(J27="","",IFERROR(VALUE(SUBSTITUTE(SUBSTITUTE(J27,"RM",""),",",""))*IFERROR(INDEX({12,4,2,1,1},MATCH(K27,{"Monthly","Quarterly","Half-yearly","Yearly","Single"},0)),0),0))</f>
        <v/>
      </c>
    </row>
    <row r="28">
      <c r="Z28" s="19">
        <f>IF(J28="","",IFERROR(VALUE(SUBSTITUTE(SUBSTITUTE(J28,"RM",""),",",""))*IFERROR(INDEX({12,4,2,1,1},MATCH(K28,{"Monthly","Quarterly","Half-yearly","Yearly","Single"},0)),0),0))</f>
        <v/>
      </c>
    </row>
    <row r="29">
      <c r="Z29" s="19">
        <f>IF(J29="","",IFERROR(VALUE(SUBSTITUTE(SUBSTITUTE(J29,"RM",""),",",""))*IFERROR(INDEX({12,4,2,1,1},MATCH(K29,{"Monthly","Quarterly","Half-yearly","Yearly","Single"},0)),0),0))</f>
        <v/>
      </c>
    </row>
    <row r="30">
      <c r="Z30" s="19">
        <f>IF(J30="","",IFERROR(VALUE(SUBSTITUTE(SUBSTITUTE(J30,"RM",""),",",""))*IFERROR(INDEX({12,4,2,1,1},MATCH(K30,{"Monthly","Quarterly","Half-yearly","Yearly","Single"},0)),0),0))</f>
        <v/>
      </c>
    </row>
    <row r="31">
      <c r="Z31" s="19">
        <f>IF(J31="","",IFERROR(VALUE(SUBSTITUTE(SUBSTITUTE(J31,"RM",""),",",""))*IFERROR(INDEX({12,4,2,1,1},MATCH(K31,{"Monthly","Quarterly","Half-yearly","Yearly","Single"},0)),0),0))</f>
        <v/>
      </c>
    </row>
    <row r="32">
      <c r="Z32" s="19">
        <f>IF(J32="","",IFERROR(VALUE(SUBSTITUTE(SUBSTITUTE(J32,"RM",""),",",""))*IFERROR(INDEX({12,4,2,1,1},MATCH(K32,{"Monthly","Quarterly","Half-yearly","Yearly","Single"},0)),0),0))</f>
        <v/>
      </c>
    </row>
    <row r="33">
      <c r="Z33" s="19">
        <f>IF(J33="","",IFERROR(VALUE(SUBSTITUTE(SUBSTITUTE(J33,"RM",""),",",""))*IFERROR(INDEX({12,4,2,1,1},MATCH(K33,{"Monthly","Quarterly","Half-yearly","Yearly","Single"},0)),0),0))</f>
        <v/>
      </c>
    </row>
    <row r="34">
      <c r="Z34" s="19">
        <f>IF(J34="","",IFERROR(VALUE(SUBSTITUTE(SUBSTITUTE(J34,"RM",""),",",""))*IFERROR(INDEX({12,4,2,1,1},MATCH(K34,{"Monthly","Quarterly","Half-yearly","Yearly","Single"},0)),0),0))</f>
        <v/>
      </c>
    </row>
    <row r="35">
      <c r="Z35" s="19">
        <f>IF(J35="","",IFERROR(VALUE(SUBSTITUTE(SUBSTITUTE(J35,"RM",""),",",""))*IFERROR(INDEX({12,4,2,1,1},MATCH(K35,{"Monthly","Quarterly","Half-yearly","Yearly","Single"},0)),0),0))</f>
        <v/>
      </c>
    </row>
    <row r="36">
      <c r="Z36" s="19">
        <f>IF(J36="","",IFERROR(VALUE(SUBSTITUTE(SUBSTITUTE(J36,"RM",""),",",""))*IFERROR(INDEX({12,4,2,1,1},MATCH(K36,{"Monthly","Quarterly","Half-yearly","Yearly","Single"},0)),0),0))</f>
        <v/>
      </c>
    </row>
    <row r="37">
      <c r="Z37" s="19">
        <f>IF(J37="","",IFERROR(VALUE(SUBSTITUTE(SUBSTITUTE(J37,"RM",""),",",""))*IFERROR(INDEX({12,4,2,1,1},MATCH(K37,{"Monthly","Quarterly","Half-yearly","Yearly","Single"},0)),0),0))</f>
        <v/>
      </c>
    </row>
    <row r="38">
      <c r="Z38" s="19">
        <f>IF(J38="","",IFERROR(VALUE(SUBSTITUTE(SUBSTITUTE(J38,"RM",""),",",""))*IFERROR(INDEX({12,4,2,1,1},MATCH(K38,{"Monthly","Quarterly","Half-yearly","Yearly","Single"},0)),0),0))</f>
        <v/>
      </c>
    </row>
    <row r="39">
      <c r="Z39" s="19">
        <f>IF(J39="","",IFERROR(VALUE(SUBSTITUTE(SUBSTITUTE(J39,"RM",""),",",""))*IFERROR(INDEX({12,4,2,1,1},MATCH(K39,{"Monthly","Quarterly","Half-yearly","Yearly","Single"},0)),0),0))</f>
        <v/>
      </c>
    </row>
    <row r="40">
      <c r="Z40" s="19">
        <f>IF(J40="","",IFERROR(VALUE(SUBSTITUTE(SUBSTITUTE(J40,"RM",""),",",""))*IFERROR(INDEX({12,4,2,1,1},MATCH(K40,{"Monthly","Quarterly","Half-yearly","Yearly","Single"},0)),0),0))</f>
        <v/>
      </c>
    </row>
    <row r="41">
      <c r="Z41" s="19">
        <f>IF(J41="","",IFERROR(VALUE(SUBSTITUTE(SUBSTITUTE(J41,"RM",""),",",""))*IFERROR(INDEX({12,4,2,1,1},MATCH(K41,{"Monthly","Quarterly","Half-yearly","Yearly","Single"},0)),0),0))</f>
        <v/>
      </c>
    </row>
    <row r="42">
      <c r="Z42" s="19">
        <f>IF(J42="","",IFERROR(VALUE(SUBSTITUTE(SUBSTITUTE(J42,"RM",""),",",""))*IFERROR(INDEX({12,4,2,1,1},MATCH(K42,{"Monthly","Quarterly","Half-yearly","Yearly","Single"},0)),0),0))</f>
        <v/>
      </c>
    </row>
    <row r="43">
      <c r="Z43" s="19">
        <f>IF(J43="","",IFERROR(VALUE(SUBSTITUTE(SUBSTITUTE(J43,"RM",""),",",""))*IFERROR(INDEX({12,4,2,1,1},MATCH(K43,{"Monthly","Quarterly","Half-yearly","Yearly","Single"},0)),0),0))</f>
        <v/>
      </c>
    </row>
    <row r="44">
      <c r="Z44" s="19">
        <f>IF(J44="","",IFERROR(VALUE(SUBSTITUTE(SUBSTITUTE(J44,"RM",""),",",""))*IFERROR(INDEX({12,4,2,1,1},MATCH(K44,{"Monthly","Quarterly","Half-yearly","Yearly","Single"},0)),0),0))</f>
        <v/>
      </c>
    </row>
    <row r="45">
      <c r="Z45" s="19">
        <f>IF(J45="","",IFERROR(VALUE(SUBSTITUTE(SUBSTITUTE(J45,"RM",""),",",""))*IFERROR(INDEX({12,4,2,1,1},MATCH(K45,{"Monthly","Quarterly","Half-yearly","Yearly","Single"},0)),0),0))</f>
        <v/>
      </c>
    </row>
    <row r="46">
      <c r="Z46" s="19">
        <f>IF(J46="","",IFERROR(VALUE(SUBSTITUTE(SUBSTITUTE(J46,"RM",""),",",""))*IFERROR(INDEX({12,4,2,1,1},MATCH(K46,{"Monthly","Quarterly","Half-yearly","Yearly","Single"},0)),0),0))</f>
        <v/>
      </c>
    </row>
    <row r="47">
      <c r="Z47" s="19">
        <f>IF(J47="","",IFERROR(VALUE(SUBSTITUTE(SUBSTITUTE(J47,"RM",""),",",""))*IFERROR(INDEX({12,4,2,1,1},MATCH(K47,{"Monthly","Quarterly","Half-yearly","Yearly","Single"},0)),0),0))</f>
        <v/>
      </c>
    </row>
    <row r="48">
      <c r="Z48" s="19">
        <f>IF(J48="","",IFERROR(VALUE(SUBSTITUTE(SUBSTITUTE(J48,"RM",""),",",""))*IFERROR(INDEX({12,4,2,1,1},MATCH(K48,{"Monthly","Quarterly","Half-yearly","Yearly","Single"},0)),0),0))</f>
        <v/>
      </c>
    </row>
    <row r="49">
      <c r="Z49" s="19">
        <f>IF(J49="","",IFERROR(VALUE(SUBSTITUTE(SUBSTITUTE(J49,"RM",""),",",""))*IFERROR(INDEX({12,4,2,1,1},MATCH(K49,{"Monthly","Quarterly","Half-yearly","Yearly","Single"},0)),0),0))</f>
        <v/>
      </c>
    </row>
    <row r="50">
      <c r="Z50" s="19">
        <f>IF(J50="","",IFERROR(VALUE(SUBSTITUTE(SUBSTITUTE(J50,"RM",""),",",""))*IFERROR(INDEX({12,4,2,1,1},MATCH(K50,{"Monthly","Quarterly","Half-yearly","Yearly","Single"},0)),0),0))</f>
        <v/>
      </c>
    </row>
    <row r="51">
      <c r="Z51" s="19">
        <f>IF(J51="","",IFERROR(VALUE(SUBSTITUTE(SUBSTITUTE(J51,"RM",""),",",""))*IFERROR(INDEX({12,4,2,1,1},MATCH(K51,{"Monthly","Quarterly","Half-yearly","Yearly","Single"},0)),0),0))</f>
        <v/>
      </c>
    </row>
    <row r="52">
      <c r="Z52" s="19">
        <f>IF(J52="","",IFERROR(VALUE(SUBSTITUTE(SUBSTITUTE(J52,"RM",""),",",""))*IFERROR(INDEX({12,4,2,1,1},MATCH(K52,{"Monthly","Quarterly","Half-yearly","Yearly","Single"},0)),0),0))</f>
        <v/>
      </c>
    </row>
    <row r="53">
      <c r="Z53" s="19">
        <f>IF(J53="","",IFERROR(VALUE(SUBSTITUTE(SUBSTITUTE(J53,"RM",""),",",""))*IFERROR(INDEX({12,4,2,1,1},MATCH(K53,{"Monthly","Quarterly","Half-yearly","Yearly","Single"},0)),0),0))</f>
        <v/>
      </c>
    </row>
    <row r="54">
      <c r="Z54" s="19">
        <f>IF(J54="","",IFERROR(VALUE(SUBSTITUTE(SUBSTITUTE(J54,"RM",""),",",""))*IFERROR(INDEX({12,4,2,1,1},MATCH(K54,{"Monthly","Quarterly","Half-yearly","Yearly","Single"},0)),0),0))</f>
        <v/>
      </c>
    </row>
    <row r="55">
      <c r="Z55" s="19">
        <f>IF(J55="","",IFERROR(VALUE(SUBSTITUTE(SUBSTITUTE(J55,"RM",""),",",""))*IFERROR(INDEX({12,4,2,1,1},MATCH(K55,{"Monthly","Quarterly","Half-yearly","Yearly","Single"},0)),0),0))</f>
        <v/>
      </c>
    </row>
    <row r="56">
      <c r="Z56" s="19">
        <f>IF(J56="","",IFERROR(VALUE(SUBSTITUTE(SUBSTITUTE(J56,"RM",""),",",""))*IFERROR(INDEX({12,4,2,1,1},MATCH(K56,{"Monthly","Quarterly","Half-yearly","Yearly","Single"},0)),0),0))</f>
        <v/>
      </c>
    </row>
    <row r="57">
      <c r="Z57" s="19">
        <f>IF(J57="","",IFERROR(VALUE(SUBSTITUTE(SUBSTITUTE(J57,"RM",""),",",""))*IFERROR(INDEX({12,4,2,1,1},MATCH(K57,{"Monthly","Quarterly","Half-yearly","Yearly","Single"},0)),0),0))</f>
        <v/>
      </c>
    </row>
    <row r="58">
      <c r="Z58" s="19">
        <f>IF(J58="","",IFERROR(VALUE(SUBSTITUTE(SUBSTITUTE(J58,"RM",""),",",""))*IFERROR(INDEX({12,4,2,1,1},MATCH(K58,{"Monthly","Quarterly","Half-yearly","Yearly","Single"},0)),0),0))</f>
        <v/>
      </c>
    </row>
    <row r="59">
      <c r="Z59" s="19">
        <f>IF(J59="","",IFERROR(VALUE(SUBSTITUTE(SUBSTITUTE(J59,"RM",""),",",""))*IFERROR(INDEX({12,4,2,1,1},MATCH(K59,{"Monthly","Quarterly","Half-yearly","Yearly","Single"},0)),0),0))</f>
        <v/>
      </c>
    </row>
    <row r="60">
      <c r="Z60" s="19">
        <f>IF(J60="","",IFERROR(VALUE(SUBSTITUTE(SUBSTITUTE(J60,"RM",""),",",""))*IFERROR(INDEX({12,4,2,1,1},MATCH(K60,{"Monthly","Quarterly","Half-yearly","Yearly","Single"},0)),0),0))</f>
        <v/>
      </c>
    </row>
    <row r="61">
      <c r="Z61" s="19">
        <f>IF(J61="","",IFERROR(VALUE(SUBSTITUTE(SUBSTITUTE(J61,"RM",""),",",""))*IFERROR(INDEX({12,4,2,1,1},MATCH(K61,{"Monthly","Quarterly","Half-yearly","Yearly","Single"},0)),0),0))</f>
        <v/>
      </c>
    </row>
    <row r="62">
      <c r="Z62" s="19">
        <f>IF(J62="","",IFERROR(VALUE(SUBSTITUTE(SUBSTITUTE(J62,"RM",""),",",""))*IFERROR(INDEX({12,4,2,1,1},MATCH(K62,{"Monthly","Quarterly","Half-yearly","Yearly","Single"},0)),0),0))</f>
        <v/>
      </c>
    </row>
    <row r="63">
      <c r="Z63" s="19">
        <f>IF(J63="","",IFERROR(VALUE(SUBSTITUTE(SUBSTITUTE(J63,"RM",""),",",""))*IFERROR(INDEX({12,4,2,1,1},MATCH(K63,{"Monthly","Quarterly","Half-yearly","Yearly","Single"},0)),0),0))</f>
        <v/>
      </c>
    </row>
    <row r="64">
      <c r="Z64" s="19">
        <f>IF(J64="","",IFERROR(VALUE(SUBSTITUTE(SUBSTITUTE(J64,"RM",""),",",""))*IFERROR(INDEX({12,4,2,1,1},MATCH(K64,{"Monthly","Quarterly","Half-yearly","Yearly","Single"},0)),0),0))</f>
        <v/>
      </c>
    </row>
    <row r="65">
      <c r="Z65" s="19">
        <f>IF(J65="","",IFERROR(VALUE(SUBSTITUTE(SUBSTITUTE(J65,"RM",""),",",""))*IFERROR(INDEX({12,4,2,1,1},MATCH(K65,{"Monthly","Quarterly","Half-yearly","Yearly","Single"},0)),0),0))</f>
        <v/>
      </c>
    </row>
    <row r="66">
      <c r="Z66" s="19">
        <f>IF(J66="","",IFERROR(VALUE(SUBSTITUTE(SUBSTITUTE(J66,"RM",""),",",""))*IFERROR(INDEX({12,4,2,1,1},MATCH(K66,{"Monthly","Quarterly","Half-yearly","Yearly","Single"},0)),0),0))</f>
        <v/>
      </c>
    </row>
    <row r="67">
      <c r="Z67" s="19">
        <f>IF(J67="","",IFERROR(VALUE(SUBSTITUTE(SUBSTITUTE(J67,"RM",""),",",""))*IFERROR(INDEX({12,4,2,1,1},MATCH(K67,{"Monthly","Quarterly","Half-yearly","Yearly","Single"},0)),0),0))</f>
        <v/>
      </c>
    </row>
    <row r="68">
      <c r="Z68" s="19">
        <f>IF(J68="","",IFERROR(VALUE(SUBSTITUTE(SUBSTITUTE(J68,"RM",""),",",""))*IFERROR(INDEX({12,4,2,1,1},MATCH(K68,{"Monthly","Quarterly","Half-yearly","Yearly","Single"},0)),0),0))</f>
        <v/>
      </c>
    </row>
    <row r="69">
      <c r="Z69" s="19">
        <f>IF(J69="","",IFERROR(VALUE(SUBSTITUTE(SUBSTITUTE(J69,"RM",""),",",""))*IFERROR(INDEX({12,4,2,1,1},MATCH(K69,{"Monthly","Quarterly","Half-yearly","Yearly","Single"},0)),0),0))</f>
        <v/>
      </c>
    </row>
    <row r="70">
      <c r="Z70" s="19">
        <f>IF(J70="","",IFERROR(VALUE(SUBSTITUTE(SUBSTITUTE(J70,"RM",""),",",""))*IFERROR(INDEX({12,4,2,1,1},MATCH(K70,{"Monthly","Quarterly","Half-yearly","Yearly","Single"},0)),0),0))</f>
        <v/>
      </c>
    </row>
    <row r="71">
      <c r="Z71" s="19">
        <f>IF(J71="","",IFERROR(VALUE(SUBSTITUTE(SUBSTITUTE(J71,"RM",""),",",""))*IFERROR(INDEX({12,4,2,1,1},MATCH(K71,{"Monthly","Quarterly","Half-yearly","Yearly","Single"},0)),0),0))</f>
        <v/>
      </c>
    </row>
    <row r="72">
      <c r="Z72" s="19">
        <f>IF(J72="","",IFERROR(VALUE(SUBSTITUTE(SUBSTITUTE(J72,"RM",""),",",""))*IFERROR(INDEX({12,4,2,1,1},MATCH(K72,{"Monthly","Quarterly","Half-yearly","Yearly","Single"},0)),0),0))</f>
        <v/>
      </c>
    </row>
    <row r="73">
      <c r="Z73" s="19">
        <f>IF(J73="","",IFERROR(VALUE(SUBSTITUTE(SUBSTITUTE(J73,"RM",""),",",""))*IFERROR(INDEX({12,4,2,1,1},MATCH(K73,{"Monthly","Quarterly","Half-yearly","Yearly","Single"},0)),0),0))</f>
        <v/>
      </c>
    </row>
    <row r="74">
      <c r="Z74" s="19">
        <f>IF(J74="","",IFERROR(VALUE(SUBSTITUTE(SUBSTITUTE(J74,"RM",""),",",""))*IFERROR(INDEX({12,4,2,1,1},MATCH(K74,{"Monthly","Quarterly","Half-yearly","Yearly","Single"},0)),0),0))</f>
        <v/>
      </c>
    </row>
    <row r="75">
      <c r="Z75" s="19">
        <f>IF(J75="","",IFERROR(VALUE(SUBSTITUTE(SUBSTITUTE(J75,"RM",""),",",""))*IFERROR(INDEX({12,4,2,1,1},MATCH(K75,{"Monthly","Quarterly","Half-yearly","Yearly","Single"},0)),0),0))</f>
        <v/>
      </c>
    </row>
    <row r="76">
      <c r="Z76" s="19">
        <f>IF(J76="","",IFERROR(VALUE(SUBSTITUTE(SUBSTITUTE(J76,"RM",""),",",""))*IFERROR(INDEX({12,4,2,1,1},MATCH(K76,{"Monthly","Quarterly","Half-yearly","Yearly","Single"},0)),0),0))</f>
        <v/>
      </c>
    </row>
    <row r="77">
      <c r="Z77" s="19">
        <f>IF(J77="","",IFERROR(VALUE(SUBSTITUTE(SUBSTITUTE(J77,"RM",""),",",""))*IFERROR(INDEX({12,4,2,1,1},MATCH(K77,{"Monthly","Quarterly","Half-yearly","Yearly","Single"},0)),0),0))</f>
        <v/>
      </c>
    </row>
    <row r="78">
      <c r="Z78" s="19">
        <f>IF(J78="","",IFERROR(VALUE(SUBSTITUTE(SUBSTITUTE(J78,"RM",""),",",""))*IFERROR(INDEX({12,4,2,1,1},MATCH(K78,{"Monthly","Quarterly","Half-yearly","Yearly","Single"},0)),0),0))</f>
        <v/>
      </c>
    </row>
    <row r="79">
      <c r="Z79" s="19">
        <f>IF(J79="","",IFERROR(VALUE(SUBSTITUTE(SUBSTITUTE(J79,"RM",""),",",""))*IFERROR(INDEX({12,4,2,1,1},MATCH(K79,{"Monthly","Quarterly","Half-yearly","Yearly","Single"},0)),0),0))</f>
        <v/>
      </c>
    </row>
    <row r="80">
      <c r="Z80" s="19">
        <f>IF(J80="","",IFERROR(VALUE(SUBSTITUTE(SUBSTITUTE(J80,"RM",""),",",""))*IFERROR(INDEX({12,4,2,1,1},MATCH(K80,{"Monthly","Quarterly","Half-yearly","Yearly","Single"},0)),0),0))</f>
        <v/>
      </c>
    </row>
    <row r="81">
      <c r="Z81" s="19">
        <f>IF(J81="","",IFERROR(VALUE(SUBSTITUTE(SUBSTITUTE(J81,"RM",""),",",""))*IFERROR(INDEX({12,4,2,1,1},MATCH(K81,{"Monthly","Quarterly","Half-yearly","Yearly","Single"},0)),0),0))</f>
        <v/>
      </c>
    </row>
    <row r="82">
      <c r="Z82" s="19">
        <f>IF(J82="","",IFERROR(VALUE(SUBSTITUTE(SUBSTITUTE(J82,"RM",""),",",""))*IFERROR(INDEX({12,4,2,1,1},MATCH(K82,{"Monthly","Quarterly","Half-yearly","Yearly","Single"},0)),0),0))</f>
        <v/>
      </c>
    </row>
    <row r="83">
      <c r="Z83" s="19">
        <f>IF(J83="","",IFERROR(VALUE(SUBSTITUTE(SUBSTITUTE(J83,"RM",""),",",""))*IFERROR(INDEX({12,4,2,1,1},MATCH(K83,{"Monthly","Quarterly","Half-yearly","Yearly","Single"},0)),0),0))</f>
        <v/>
      </c>
    </row>
    <row r="84">
      <c r="Z84" s="19">
        <f>IF(J84="","",IFERROR(VALUE(SUBSTITUTE(SUBSTITUTE(J84,"RM",""),",",""))*IFERROR(INDEX({12,4,2,1,1},MATCH(K84,{"Monthly","Quarterly","Half-yearly","Yearly","Single"},0)),0),0))</f>
        <v/>
      </c>
    </row>
    <row r="85">
      <c r="Z85" s="19">
        <f>IF(J85="","",IFERROR(VALUE(SUBSTITUTE(SUBSTITUTE(J85,"RM",""),",",""))*IFERROR(INDEX({12,4,2,1,1},MATCH(K85,{"Monthly","Quarterly","Half-yearly","Yearly","Single"},0)),0),0))</f>
        <v/>
      </c>
    </row>
    <row r="86">
      <c r="Z86" s="19">
        <f>IF(J86="","",IFERROR(VALUE(SUBSTITUTE(SUBSTITUTE(J86,"RM",""),",",""))*IFERROR(INDEX({12,4,2,1,1},MATCH(K86,{"Monthly","Quarterly","Half-yearly","Yearly","Single"},0)),0),0))</f>
        <v/>
      </c>
    </row>
    <row r="87">
      <c r="Z87" s="19">
        <f>IF(J87="","",IFERROR(VALUE(SUBSTITUTE(SUBSTITUTE(J87,"RM",""),",",""))*IFERROR(INDEX({12,4,2,1,1},MATCH(K87,{"Monthly","Quarterly","Half-yearly","Yearly","Single"},0)),0),0))</f>
        <v/>
      </c>
    </row>
    <row r="88">
      <c r="Z88" s="19">
        <f>IF(J88="","",IFERROR(VALUE(SUBSTITUTE(SUBSTITUTE(J88,"RM",""),",",""))*IFERROR(INDEX({12,4,2,1,1},MATCH(K88,{"Monthly","Quarterly","Half-yearly","Yearly","Single"},0)),0),0))</f>
        <v/>
      </c>
    </row>
    <row r="89">
      <c r="Z89" s="19">
        <f>IF(J89="","",IFERROR(VALUE(SUBSTITUTE(SUBSTITUTE(J89,"RM",""),",",""))*IFERROR(INDEX({12,4,2,1,1},MATCH(K89,{"Monthly","Quarterly","Half-yearly","Yearly","Single"},0)),0),0))</f>
        <v/>
      </c>
    </row>
    <row r="90">
      <c r="Z90" s="19">
        <f>IF(J90="","",IFERROR(VALUE(SUBSTITUTE(SUBSTITUTE(J90,"RM",""),",",""))*IFERROR(INDEX({12,4,2,1,1},MATCH(K90,{"Monthly","Quarterly","Half-yearly","Yearly","Single"},0)),0),0))</f>
        <v/>
      </c>
    </row>
    <row r="91">
      <c r="Z91" s="19">
        <f>IF(J91="","",IFERROR(VALUE(SUBSTITUTE(SUBSTITUTE(J91,"RM",""),",",""))*IFERROR(INDEX({12,4,2,1,1},MATCH(K91,{"Monthly","Quarterly","Half-yearly","Yearly","Single"},0)),0),0))</f>
        <v/>
      </c>
    </row>
    <row r="92">
      <c r="Z92" s="19">
        <f>IF(J92="","",IFERROR(VALUE(SUBSTITUTE(SUBSTITUTE(J92,"RM",""),",",""))*IFERROR(INDEX({12,4,2,1,1},MATCH(K92,{"Monthly","Quarterly","Half-yearly","Yearly","Single"},0)),0),0))</f>
        <v/>
      </c>
    </row>
    <row r="93">
      <c r="Z93" s="19">
        <f>IF(J93="","",IFERROR(VALUE(SUBSTITUTE(SUBSTITUTE(J93,"RM",""),",",""))*IFERROR(INDEX({12,4,2,1,1},MATCH(K93,{"Monthly","Quarterly","Half-yearly","Yearly","Single"},0)),0),0))</f>
        <v/>
      </c>
    </row>
    <row r="94">
      <c r="Z94" s="19">
        <f>IF(J94="","",IFERROR(VALUE(SUBSTITUTE(SUBSTITUTE(J94,"RM",""),",",""))*IFERROR(INDEX({12,4,2,1,1},MATCH(K94,{"Monthly","Quarterly","Half-yearly","Yearly","Single"},0)),0),0))</f>
        <v/>
      </c>
    </row>
    <row r="95">
      <c r="Z95" s="19">
        <f>IF(J95="","",IFERROR(VALUE(SUBSTITUTE(SUBSTITUTE(J95,"RM",""),",",""))*IFERROR(INDEX({12,4,2,1,1},MATCH(K95,{"Monthly","Quarterly","Half-yearly","Yearly","Single"},0)),0),0))</f>
        <v/>
      </c>
    </row>
    <row r="96">
      <c r="Z96" s="19">
        <f>IF(J96="","",IFERROR(VALUE(SUBSTITUTE(SUBSTITUTE(J96,"RM",""),",",""))*IFERROR(INDEX({12,4,2,1,1},MATCH(K96,{"Monthly","Quarterly","Half-yearly","Yearly","Single"},0)),0),0))</f>
        <v/>
      </c>
    </row>
    <row r="97">
      <c r="Z97" s="19">
        <f>IF(J97="","",IFERROR(VALUE(SUBSTITUTE(SUBSTITUTE(J97,"RM",""),",",""))*IFERROR(INDEX({12,4,2,1,1},MATCH(K97,{"Monthly","Quarterly","Half-yearly","Yearly","Single"},0)),0),0))</f>
        <v/>
      </c>
    </row>
    <row r="98">
      <c r="Z98" s="19">
        <f>IF(J98="","",IFERROR(VALUE(SUBSTITUTE(SUBSTITUTE(J98,"RM",""),",",""))*IFERROR(INDEX({12,4,2,1,1},MATCH(K98,{"Monthly","Quarterly","Half-yearly","Yearly","Single"},0)),0),0))</f>
        <v/>
      </c>
    </row>
    <row r="99">
      <c r="Z99" s="19">
        <f>IF(J99="","",IFERROR(VALUE(SUBSTITUTE(SUBSTITUTE(J99,"RM",""),",",""))*IFERROR(INDEX({12,4,2,1,1},MATCH(K99,{"Monthly","Quarterly","Half-yearly","Yearly","Single"},0)),0),0))</f>
        <v/>
      </c>
    </row>
    <row r="100">
      <c r="Z100" s="19">
        <f>IF(J100="","",IFERROR(VALUE(SUBSTITUTE(SUBSTITUTE(J100,"RM",""),",",""))*IFERROR(INDEX({12,4,2,1,1},MATCH(K100,{"Monthly","Quarterly","Half-yearly","Yearly","Single"},0)),0),0))</f>
        <v/>
      </c>
    </row>
  </sheetData>
  <conditionalFormatting sqref="T2:T100">
    <cfRule type="expression" priority="1" dxfId="0">
      <formula>AND($G2="Inforce",$T2="",$A2&lt;&gt;"")</formula>
    </cfRule>
  </conditionalFormatting>
  <dataValidations count="7">
    <dataValidation sqref="D2:D100" showDropDown="0" showInputMessage="0" showErrorMessage="0" allowBlank="1" type="list">
      <formula1>"Whole Life,Term Life,Investment-Linked,Medical,Critical Illness,Personal Accident,Endowment / Savings,Other"</formula1>
    </dataValidation>
    <dataValidation sqref="G2:G100" showDropDown="0" showInputMessage="0" showErrorMessage="0" allowBlank="1" type="list">
      <formula1>"Inforce,Lapsed,Paid-up,Surrendered,Matured"</formula1>
    </dataValidation>
    <dataValidation sqref="K2:K100" showDropDown="0" showInputMessage="0" showErrorMessage="0" allowBlank="1" type="list">
      <formula1>"Monthly,Quarterly,Half-yearly,Yearly,Single"</formula1>
    </dataValidation>
    <dataValidation sqref="S2:S100" showDropDown="0" showInputMessage="0" showErrorMessage="0" allowBlank="1" type="list">
      <formula1>"Yes,No"</formula1>
    </dataValidation>
    <dataValidation sqref="V2:V100" showDropDown="0" showInputMessage="0" showErrorMessage="0" allowBlank="1" type="list">
      <formula1>"Beneficiary,Hibah,Trustee,Conditional Hibah,None"</formula1>
    </dataValidation>
    <dataValidation sqref="W2:W100" showDropDown="0" showInputMessage="0" showErrorMessage="0" allowBlank="1" type="list">
      <formula1>"Family income protection,Medical &amp; hospital bills,Critical illness recovery,Retirement,Children's education,Savings &amp; wealth,Mortgage / loan protection,Estate &amp; legacy,Accident cover,Business protection"</formula1>
    </dataValidation>
    <dataValidation sqref="B2:B100" showDropDown="0" showInputMessage="0" showErrorMessage="0" allowBlank="1" type="list">
      <formula1>=Lists!$A$2:$A$26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HOW TO USE  使用方法</t>
        </is>
      </c>
    </row>
    <row r="2">
      <c r="A2" s="21" t="inlineStr">
        <is>
          <t>1. Client sheet: fill client name, income, review date. Review standard is RM1m for Life, CI, Retirement, Medical - adjust if needed.</t>
        </is>
      </c>
    </row>
    <row r="3">
      <c r="A3" s="21" t="inlineStr">
        <is>
          <t>2. Policies sheet: one row per policy. Use the dropdowns for Type, Status, Payment Mode.</t>
        </is>
      </c>
    </row>
    <row r="4">
      <c r="A4" s="21" t="inlineStr">
        <is>
          <t>3. Leave a cell BLANK if you don't know it. Never type a guess - the app flags blanks for you to confirm.</t>
        </is>
      </c>
    </row>
    <row r="5">
      <c r="A5" s="21" t="inlineStr">
        <is>
          <t>4. Dashboard sheet updates automatically (Excel-only version).</t>
        </is>
      </c>
    </row>
    <row r="6">
      <c r="A6" s="21" t="inlineStr">
        <is>
          <t>5. For the visual PDF report: open 'Policy Review Snapshot.html', load this file, click 'Generate'.</t>
        </is>
      </c>
    </row>
    <row r="7">
      <c r="A7" s="21" t="inlineStr"/>
    </row>
    <row r="8">
      <c r="A8" s="21" t="inlineStr">
        <is>
          <t>Pink nominee cell = inforce policy without nominee recorded.</t>
        </is>
      </c>
    </row>
    <row r="9">
      <c r="A9" s="21" t="inlineStr">
        <is>
          <t>Only Inforce policies count toward coverage totals. Lapsed/Paid-up are listed separately.</t>
        </is>
      </c>
    </row>
    <row r="10">
      <c r="A10" s="21" t="inlineStr">
        <is>
          <t>Insurer and Purpose columns have dropdown lists - you can also type any other 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 (Malaysia life &amp; family takaful)</t>
        </is>
      </c>
    </row>
    <row r="2">
      <c r="A2" t="inlineStr">
        <is>
          <t>AIA</t>
        </is>
      </c>
    </row>
    <row r="3">
      <c r="A3" t="inlineStr">
        <is>
          <t>Allianz Life</t>
        </is>
      </c>
    </row>
    <row r="4">
      <c r="A4" t="inlineStr">
        <is>
          <t>AmMetLife</t>
        </is>
      </c>
    </row>
    <row r="5">
      <c r="A5" t="inlineStr">
        <is>
          <t>Etiqa Life</t>
        </is>
      </c>
    </row>
    <row r="6">
      <c r="A6" t="inlineStr">
        <is>
          <t>FWD Insurance</t>
        </is>
      </c>
    </row>
    <row r="7">
      <c r="A7" t="inlineStr">
        <is>
          <t>Generali Life</t>
        </is>
      </c>
    </row>
    <row r="8">
      <c r="A8" t="inlineStr">
        <is>
          <t>Great Eastern Life</t>
        </is>
      </c>
    </row>
    <row r="9">
      <c r="A9" t="inlineStr">
        <is>
          <t>Hong Leong Assurance</t>
        </is>
      </c>
    </row>
    <row r="10">
      <c r="A10" t="inlineStr">
        <is>
          <t>Manulife</t>
        </is>
      </c>
    </row>
    <row r="11">
      <c r="A11" t="inlineStr">
        <is>
          <t>MCIS</t>
        </is>
      </c>
    </row>
    <row r="12">
      <c r="A12" t="inlineStr">
        <is>
          <t>Prudential Assurance</t>
        </is>
      </c>
    </row>
    <row r="13">
      <c r="A13" t="inlineStr">
        <is>
          <t>Sun Life Malaysia</t>
        </is>
      </c>
    </row>
    <row r="14">
      <c r="A14" t="inlineStr">
        <is>
          <t>Tokio Marine Life</t>
        </is>
      </c>
    </row>
    <row r="15">
      <c r="A15" t="inlineStr">
        <is>
          <t>Zurich Life</t>
        </is>
      </c>
    </row>
    <row r="16">
      <c r="A16" t="inlineStr">
        <is>
          <t>AIA PUBLIC Takaful</t>
        </is>
      </c>
    </row>
    <row r="17">
      <c r="A17" t="inlineStr">
        <is>
          <t>AmMetLife Takaful</t>
        </is>
      </c>
    </row>
    <row r="18">
      <c r="A18" t="inlineStr">
        <is>
          <t>Etiqa Family Takaful</t>
        </is>
      </c>
    </row>
    <row r="19">
      <c r="A19" t="inlineStr">
        <is>
          <t>FWD Takaful</t>
        </is>
      </c>
    </row>
    <row r="20">
      <c r="A20" t="inlineStr">
        <is>
          <t>Great Eastern Takaful</t>
        </is>
      </c>
    </row>
    <row r="21">
      <c r="A21" t="inlineStr">
        <is>
          <t>Hong Leong MSIG Takaful</t>
        </is>
      </c>
    </row>
    <row r="22">
      <c r="A22" t="inlineStr">
        <is>
          <t>Prudential BSN Takaful</t>
        </is>
      </c>
    </row>
    <row r="23">
      <c r="A23" t="inlineStr">
        <is>
          <t>Sun Life Malaysia Takaful</t>
        </is>
      </c>
    </row>
    <row r="24">
      <c r="A24" t="inlineStr">
        <is>
          <t>Takaful Malaysia (Keluarga)</t>
        </is>
      </c>
    </row>
    <row r="25">
      <c r="A25" t="inlineStr">
        <is>
          <t>Takaful Ikhlas Family</t>
        </is>
      </c>
    </row>
    <row r="26">
      <c r="A26" t="inlineStr">
        <is>
          <t>Zurich Takaful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2026-10-30T02:39:31Z</dcterms:created>
  <dcterms:modified xmlns:dcterms="http://purl.org/dc/terms/" xmlns:xsi="http://www.w3.org/2001/XMLSchema-instance" xsi:type="dcterms:W3CDTF">2026-10-30T02:39:31Z</dcterms:modified>
</cp:coreProperties>
</file>