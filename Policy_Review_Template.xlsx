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" sheetId="2" state="visible" r:id="rId2"/>
    <sheet xmlns:r="http://schemas.openxmlformats.org/officeDocument/2006/relationships" name="Policies" sheetId="3" state="visible" r:id="rId3"/>
    <sheet xmlns:r="http://schemas.openxmlformats.org/officeDocument/2006/relationships" name="Review notes" sheetId="4" state="visible" r:id="rId4"/>
    <sheet xmlns:r="http://schemas.openxmlformats.org/officeDocument/2006/relationships" name="Guide" sheetId="5" state="visible" r:id="rId5"/>
    <sheet xmlns:r="http://schemas.openxmlformats.org/officeDocument/2006/relationships"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6B3FA0"/>
      <sz val="16"/>
    </font>
    <font>
      <i val="1"/>
      <color rgb="007A6A8C"/>
      <sz val="10"/>
    </font>
    <font>
      <b val="1"/>
    </font>
    <font>
      <b val="1"/>
      <color rgb="00FFFFFF"/>
    </font>
    <font>
      <b val="1"/>
      <color rgb="00D94F8C"/>
      <sz val="12"/>
    </font>
    <font>
      <i val="1"/>
      <color rgb="007A6A8C"/>
      <sz val="9"/>
    </font>
    <font>
      <i val="1"/>
      <color rgb="007A6A8C"/>
    </font>
    <font>
      <b val="1"/>
      <color rgb="006B3FA0"/>
      <sz val="14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6B3FA0"/>
      </patternFill>
    </fill>
    <fill>
      <patternFill patternType="solid">
        <fgColor rgb="00F3ECFA"/>
      </patternFill>
    </fill>
    <fill>
      <patternFill patternType="solid">
        <fgColor rgb="00D94F8C"/>
      </patternFill>
    </fill>
  </fills>
  <borders count="2">
    <border>
      <left/>
      <right/>
      <top/>
      <bottom/>
      <diagonal/>
    </border>
    <border>
      <left style="thin">
        <color rgb="00D9CDE8"/>
      </left>
      <right style="thin">
        <color rgb="00D9CDE8"/>
      </right>
      <top style="thin">
        <color rgb="00D9CDE8"/>
      </top>
      <bottom style="thin">
        <color rgb="00D9CDE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3" borderId="1" pivotButton="0" quotePrefix="0" xfId="0"/>
    <xf numFmtId="3" fontId="0" fillId="3" borderId="1" pivotButton="0" quotePrefix="0" xfId="0"/>
    <xf numFmtId="3" fontId="3" fillId="0" borderId="1" pivotButton="0" quotePrefix="0" xfId="0"/>
    <xf numFmtId="3" fontId="0" fillId="0" borderId="1" pivotButton="0" quotePrefix="0" xfId="0"/>
    <xf numFmtId="0" fontId="5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0" fillId="3" borderId="1" pivotButton="0" quotePrefix="0" xfId="0"/>
    <xf numFmtId="164" fontId="0" fillId="3" borderId="1" pivotButton="0" quotePrefix="0" xfId="0"/>
    <xf numFmtId="0" fontId="7" fillId="0" borderId="0" pivotButton="0" quotePrefix="0" xfId="0"/>
    <xf numFmtId="9" fontId="0" fillId="3" borderId="1" pivotButton="0" quotePrefix="0" xfId="0"/>
    <xf numFmtId="49" fontId="0" fillId="3" borderId="1" pivotButton="0" quotePrefix="0" xfId="0"/>
    <xf numFmtId="0" fontId="4" fillId="2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Existing vs review standard (RM)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'Dashboard'!B5</f>
            </strRef>
          </tx>
          <spPr>
            <a:solidFill xmlns:a="http://schemas.openxmlformats.org/drawingml/2006/main">
              <a:srgbClr val="6B3FA0"/>
            </a:solidFill>
            <a:ln xmlns:a="http://schemas.openxmlformats.org/drawingml/2006/main">
              <a:prstDash val="solid"/>
            </a:ln>
          </spPr>
          <cat>
            <numRef>
              <f>'Dashboard'!$A$6:$A$9</f>
            </numRef>
          </cat>
          <val>
            <numRef>
              <f>'Dashboard'!$B$6:$B$9</f>
            </numRef>
          </val>
        </ser>
        <ser>
          <idx val="1"/>
          <order val="1"/>
          <tx>
            <strRef>
              <f>'Dashboard'!C5</f>
            </strRef>
          </tx>
          <spPr>
            <a:solidFill xmlns:a="http://schemas.openxmlformats.org/drawingml/2006/main">
              <a:srgbClr val="E9B8D0"/>
            </a:solidFill>
            <a:ln xmlns:a="http://schemas.openxmlformats.org/drawingml/2006/main">
              <a:prstDash val="solid"/>
            </a:ln>
          </spPr>
          <cat>
            <numRef>
              <f>'Dashboard'!$A$6:$A$9</f>
            </numRef>
          </cat>
          <val>
            <numRef>
              <f>'Dashboard'!$C$6:$C$9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94F8C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4" customWidth="1" min="6" max="6"/>
  </cols>
  <sheetData>
    <row r="1">
      <c r="A1" s="1" t="inlineStr">
        <is>
          <t>Policy Review Snapshot  保单检视摘要</t>
        </is>
      </c>
    </row>
    <row r="2">
      <c r="A2" s="2" t="inlineStr">
        <is>
          <t>Auto-calculated from 'Client' and 'Policies'. Inforce and paid-up policies count toward coverage.</t>
        </is>
      </c>
    </row>
    <row r="3">
      <c r="A3" s="3" t="inlineStr">
        <is>
          <t>Client 客户:</t>
        </is>
      </c>
      <c r="B3">
        <f>Client!B4</f>
        <v/>
      </c>
      <c r="D3" s="3" t="inlineStr">
        <is>
          <t>Review date 检视日期:</t>
        </is>
      </c>
      <c r="E3" s="4">
        <f>Client!B8</f>
        <v/>
      </c>
    </row>
    <row r="5">
      <c r="A5" s="5" t="inlineStr">
        <is>
          <t>Coverage area  保障类别</t>
        </is>
      </c>
      <c r="B5" s="5" t="inlineStr">
        <is>
          <t>Existing 现有 (RM)</t>
        </is>
      </c>
      <c r="C5" s="5" t="inlineStr">
        <is>
          <t>Standard 标准 (RM)</t>
        </is>
      </c>
      <c r="D5" s="5" t="inlineStr">
        <is>
          <t>Gap 差距 (RM)</t>
        </is>
      </c>
      <c r="E5" s="5" t="inlineStr">
        <is>
          <t>Status 状态</t>
        </is>
      </c>
    </row>
    <row r="6">
      <c r="A6" s="6" t="inlineStr">
        <is>
          <t>Life / Death  身故</t>
        </is>
      </c>
      <c r="B6" s="7">
        <f>SUMIFS(Policies!$L$2:$L$100,Policies!$G$2:$G$100,"Inforce")+SUMIFS(Policies!$L$2:$L$100,Policies!$G$2:$G$100,"Paid-up")</f>
        <v/>
      </c>
      <c r="C6" s="7">
        <f>Client!B12</f>
        <v/>
      </c>
      <c r="D6" s="7">
        <f>MAX(0,C6-B6)</f>
        <v/>
      </c>
      <c r="E6" s="7">
        <f>IF(C6=0,"-",IF(B6&gt;=C6,"✔ On track 已达标","▲ Review 可加强"))</f>
        <v/>
      </c>
    </row>
    <row r="7">
      <c r="A7" s="8" t="inlineStr">
        <is>
          <t>TPD  完全永久残疾</t>
        </is>
      </c>
      <c r="B7" s="9">
        <f>SUMIFS(Policies!$M$2:$M$100,Policies!$G$2:$G$100,"Inforce")+SUMIFS(Policies!$M$2:$M$100,Policies!$G$2:$G$100,"Paid-up")</f>
        <v/>
      </c>
      <c r="C7" s="9">
        <f>Client!B13</f>
        <v/>
      </c>
      <c r="D7" s="9">
        <f>MAX(0,C7-B7)</f>
        <v/>
      </c>
      <c r="E7" s="9">
        <f>IF(C7=0,"-",IF(B7&gt;=C7,"✔ On track 已达标","▲ Review 可加强"))</f>
        <v/>
      </c>
    </row>
    <row r="8">
      <c r="A8" s="6" t="inlineStr">
        <is>
          <t>Critical Illness  严重疾病</t>
        </is>
      </c>
      <c r="B8" s="7">
        <f>SUMIFS(Policies!$N$2:$N$100,Policies!$G$2:$G$100,"Inforce")+SUMIFS(Policies!$N$2:$N$100,Policies!$G$2:$G$100,"Paid-up")</f>
        <v/>
      </c>
      <c r="C8" s="7">
        <f>Client!B14</f>
        <v/>
      </c>
      <c r="D8" s="7">
        <f>MAX(0,C8-B8)</f>
        <v/>
      </c>
      <c r="E8" s="7">
        <f>IF(C8=0,"-",IF(B8&gt;=C8,"✔ On track 已达标","▲ Review 可加强"))</f>
        <v/>
      </c>
    </row>
    <row r="9">
      <c r="A9" s="8" t="inlineStr">
        <is>
          <t>Retirement fund (plans + EPF + PRS)  退休金</t>
        </is>
      </c>
      <c r="B9" s="9">
        <f>SUMIFS(Policies!$Y$2:$Y$100,Policies!$G$2:$G$100,"Inforce")+SUMIFS(Policies!$Y$2:$Y$100,Policies!$G$2:$G$100,"Paid-up")+N(Client!B21)+N(Client!B22)</f>
        <v/>
      </c>
      <c r="C9" s="9">
        <f>Client!B15</f>
        <v/>
      </c>
      <c r="D9" s="9">
        <f>MAX(0,C9-B9)</f>
        <v/>
      </c>
      <c r="E9" s="9">
        <f>IF(C9=0,"-",IF(B9&gt;=C9,"✔ On track 已达标","▲ Review 可加强"))</f>
        <v/>
      </c>
    </row>
    <row r="10">
      <c r="A10" s="6" t="inlineStr">
        <is>
          <t>Medical annual limit (highest)  医药年限</t>
        </is>
      </c>
      <c r="B10" s="7">
        <f>MAX(_xlfn.MAXIFS(Policies!$P$2:$P$100,Policies!$G$2:$G$100,"Inforce"),_xlfn.MAXIFS(Policies!$P$2:$P$100,Policies!$G$2:$G$100,"Paid-up"))</f>
        <v/>
      </c>
      <c r="C10" s="7">
        <f>Client!B16</f>
        <v/>
      </c>
      <c r="D10" s="7">
        <f>MAX(0,C10-B10)</f>
        <v/>
      </c>
      <c r="E10" s="7">
        <f>IF(C10=0,"-",IF(B10&gt;=C10,"✔ On track 已达标","▲ Review 可加强"))</f>
        <v/>
      </c>
    </row>
    <row r="11">
      <c r="A11" s="8" t="inlineStr">
        <is>
          <t>Room &amp; board (RM/day)  房租</t>
        </is>
      </c>
      <c r="B11" s="9">
        <f>MAX(_xlfn.MAXIFS(Policies!$Q$2:$Q$100,Policies!$G$2:$G$100,"Inforce"),_xlfn.MAXIFS(Policies!$Q$2:$Q$100,Policies!$G$2:$G$100,"Paid-up"))</f>
        <v/>
      </c>
      <c r="C11" s="9">
        <f>Client!B17</f>
        <v/>
      </c>
      <c r="D11" s="9">
        <f>MAX(0,C11-B11)</f>
        <v/>
      </c>
      <c r="E11" s="9">
        <f>IF(C11=0,"-",IF(B11&gt;=C11,"✔ On track 已达标","▲ Review 可加强"))</f>
        <v/>
      </c>
    </row>
    <row r="12">
      <c r="A12" s="6" t="inlineStr">
        <is>
          <t>Personal Accident  意外</t>
        </is>
      </c>
      <c r="B12" s="7">
        <f>SUMIFS(Policies!$R$2:$R$100,Policies!$G$2:$G$100,"Inforce")+SUMIFS(Policies!$R$2:$R$100,Policies!$G$2:$G$100,"Paid-up")</f>
        <v/>
      </c>
      <c r="C12" s="7" t="inlineStr">
        <is>
          <t>-</t>
        </is>
      </c>
      <c r="D12" s="7" t="inlineStr">
        <is>
          <t>-</t>
        </is>
      </c>
      <c r="E12" s="7" t="inlineStr">
        <is>
          <t>No standard set</t>
        </is>
      </c>
    </row>
    <row r="14">
      <c r="A14" s="10" t="inlineStr">
        <is>
          <t>Premium  保费</t>
        </is>
      </c>
    </row>
    <row r="15">
      <c r="A15" s="3" t="inlineStr">
        <is>
          <t>Total annual premium (inforce + paid-up)  年缴总保费</t>
        </is>
      </c>
      <c r="B15" s="9">
        <f>SUMIFS(Policies!$AA$2:$AA$100,Policies!$G$2:$G$100,"Inforce")+SUMIFS(Policies!$AA$2:$AA$100,Policies!$G$2:$G$100,"Paid-up")</f>
        <v/>
      </c>
    </row>
    <row r="16">
      <c r="A16" s="3" t="inlineStr">
        <is>
          <t>Monthly equivalent  每月相当于</t>
        </is>
      </c>
      <c r="B16" s="9">
        <f>B15/12</f>
        <v/>
      </c>
    </row>
    <row r="17">
      <c r="A17" s="3" t="inlineStr">
        <is>
          <t>% of annual income  占年收入</t>
        </is>
      </c>
      <c r="B17" s="11">
        <f>IF(Client!B6&gt;0,B15/Client!B6,0)</f>
        <v/>
      </c>
    </row>
    <row r="18">
      <c r="A18" s="3" t="inlineStr">
        <is>
          <t>Premium budget  保费预算</t>
        </is>
      </c>
      <c r="B18" s="11">
        <f>Client!B18</f>
        <v/>
      </c>
    </row>
    <row r="20">
      <c r="A20" s="10" t="inlineStr">
        <is>
          <t>Housekeeping  资料检查</t>
        </is>
      </c>
    </row>
    <row r="21">
      <c r="A21" s="3" t="inlineStr">
        <is>
          <t>Inforce / paid-up policies  有效保单</t>
        </is>
      </c>
      <c r="B21" s="12">
        <f>COUNTIFS(Policies!$G$2:$G$100,"Inforce")+COUNTIFS(Policies!$G$2:$G$100,"Paid-up")</f>
        <v/>
      </c>
    </row>
    <row r="22">
      <c r="A22" s="3" t="inlineStr">
        <is>
          <t>Not inforce (excluded)  非有效保单</t>
        </is>
      </c>
      <c r="B22" s="12">
        <f>COUNTA(Policies!$A$2:$A$100)-B21</f>
        <v/>
      </c>
    </row>
    <row r="23">
      <c r="A23" s="3" t="inlineStr">
        <is>
          <t>Inforce without nominee  未提名</t>
        </is>
      </c>
      <c r="B23" s="12">
        <f>COUNTIFS(Policies!$G$2:$G$100,"Inforce",Policies!$T$2:$T$100,"",Policies!$A$2:$A$100,"&lt;&gt;")+COUNTIFS(Policies!$G$2:$G$100,"Paid-up",Policies!$T$2:$T$100,"",Policies!$A$2:$A$100,"&lt;&gt;")</f>
        <v/>
      </c>
    </row>
    <row r="44">
      <c r="A44" s="13" t="inlineStr">
        <is>
          <t>Disclaimer: Summary based on policy information provided as at review date. Benefits are subject to the terms of each policy contract. Review standards are planning benchmarks, not recommendations or official figures.</t>
        </is>
      </c>
    </row>
    <row r="45"/>
    <row r="46"/>
  </sheetData>
  <mergeCells count="1">
    <mergeCell ref="A44:E4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40" customWidth="1" min="3" max="3"/>
    <col width="18" customWidth="1" min="4" max="4"/>
    <col width="30" customWidth="1" min="5" max="5"/>
  </cols>
  <sheetData>
    <row r="1">
      <c r="A1" s="1" t="inlineStr">
        <is>
          <t>Client Info  客户资料</t>
        </is>
      </c>
    </row>
    <row r="2">
      <c r="A2" s="2" t="inlineStr">
        <is>
          <t>Fill column B. Review standards are YOUR planning benchmarks, not official figures.</t>
        </is>
      </c>
    </row>
    <row r="4">
      <c r="A4" s="3" t="inlineStr">
        <is>
          <t>Client Name</t>
        </is>
      </c>
      <c r="B4" s="14" t="inlineStr">
        <is>
          <t>TAN MEI LING (SAMPLE)</t>
        </is>
      </c>
    </row>
    <row r="5">
      <c r="A5" s="3" t="inlineStr">
        <is>
          <t>Age</t>
        </is>
      </c>
      <c r="B5" s="14" t="n">
        <v>38</v>
      </c>
    </row>
    <row r="6">
      <c r="A6" s="3" t="inlineStr">
        <is>
          <t>Annual Income (RM)</t>
        </is>
      </c>
      <c r="B6" s="7" t="n">
        <v>96000</v>
      </c>
    </row>
    <row r="7">
      <c r="A7" s="3" t="inlineStr">
        <is>
          <t>No. of Dependants</t>
        </is>
      </c>
      <c r="B7" s="14" t="n">
        <v>2</v>
      </c>
    </row>
    <row r="8">
      <c r="A8" s="3" t="inlineStr">
        <is>
          <t>Review Date</t>
        </is>
      </c>
      <c r="B8" s="15" t="n">
        <v>46324</v>
      </c>
    </row>
    <row r="9">
      <c r="A9" s="3" t="inlineStr">
        <is>
          <t>Prepared By</t>
        </is>
      </c>
      <c r="B9" s="14" t="inlineStr">
        <is>
          <t>Goh Poh Yee</t>
        </is>
      </c>
    </row>
    <row r="11">
      <c r="A11" s="10" t="inlineStr">
        <is>
          <t>Review standard  检视标准</t>
        </is>
      </c>
    </row>
    <row r="12">
      <c r="A12" s="3" t="inlineStr">
        <is>
          <t>Life cover target (RM)</t>
        </is>
      </c>
      <c r="B12" s="7" t="n">
        <v>1000000</v>
      </c>
      <c r="C12" s="16" t="inlineStr">
        <is>
          <t>Review standard</t>
        </is>
      </c>
    </row>
    <row r="13">
      <c r="A13" s="3" t="inlineStr">
        <is>
          <t>TPD cover target (RM)</t>
        </is>
      </c>
      <c r="B13" s="7" t="n"/>
      <c r="C13" s="16" t="inlineStr">
        <is>
          <t>Leave blank if no TPD standard</t>
        </is>
      </c>
    </row>
    <row r="14">
      <c r="A14" s="3" t="inlineStr">
        <is>
          <t>CI cover target (RM)</t>
        </is>
      </c>
      <c r="B14" s="7" t="n">
        <v>1000000</v>
      </c>
      <c r="C14" s="16" t="inlineStr">
        <is>
          <t>Review standard</t>
        </is>
      </c>
    </row>
    <row r="15">
      <c r="A15" s="3" t="inlineStr">
        <is>
          <t>Retirement target (RM)</t>
        </is>
      </c>
      <c r="B15" s="7" t="n">
        <v>1000000</v>
      </c>
      <c r="C15" s="16" t="inlineStr">
        <is>
          <t>Review standard</t>
        </is>
      </c>
    </row>
    <row r="16">
      <c r="A16" s="3" t="inlineStr">
        <is>
          <t>Medical annual limit target (RM)</t>
        </is>
      </c>
      <c r="B16" s="7" t="n">
        <v>1000000</v>
      </c>
      <c r="C16" s="16" t="inlineStr">
        <is>
          <t>Review standard</t>
        </is>
      </c>
    </row>
    <row r="17">
      <c r="A17" s="3" t="inlineStr">
        <is>
          <t>Room &amp; board target (RM/day)</t>
        </is>
      </c>
      <c r="B17" s="7" t="n">
        <v>200</v>
      </c>
      <c r="C17" s="16" t="inlineStr">
        <is>
          <t>Adjust per client</t>
        </is>
      </c>
    </row>
    <row r="18">
      <c r="A18" s="3" t="inlineStr">
        <is>
          <t>Premium budget (% of income)</t>
        </is>
      </c>
      <c r="B18" s="17" t="n">
        <v>0.1</v>
      </c>
      <c r="C18" s="16" t="inlineStr">
        <is>
          <t>Adjust per client</t>
        </is>
      </c>
    </row>
    <row r="20">
      <c r="A20" s="10" t="inlineStr">
        <is>
          <t>Retirement savings  退休储蓄</t>
        </is>
      </c>
    </row>
    <row r="21">
      <c r="A21" s="3" t="inlineStr">
        <is>
          <t>EPF / KWSP balance (RM)</t>
        </is>
      </c>
      <c r="B21" s="7" t="n"/>
      <c r="C21" s="16" t="inlineStr">
        <is>
          <t>Latest statement / i-Akaun</t>
        </is>
      </c>
    </row>
    <row r="22">
      <c r="A22" s="3" t="inlineStr">
        <is>
          <t>PRS balance (RM)</t>
        </is>
      </c>
      <c r="B22" s="7" t="n"/>
      <c r="C22" s="16" t="inlineStr">
        <is>
          <t>Latest PRS statement</t>
        </is>
      </c>
    </row>
    <row r="24">
      <c r="A24" s="10" t="inlineStr">
        <is>
          <t>Contact  联络资料</t>
        </is>
      </c>
    </row>
    <row r="25">
      <c r="A25" s="3" t="inlineStr">
        <is>
          <t>Phone  电话</t>
        </is>
      </c>
      <c r="B25" s="18" t="n"/>
      <c r="C25" s="16" t="inlineStr">
        <is>
          <t>Not shown on the client report</t>
        </is>
      </c>
    </row>
    <row r="26">
      <c r="A26" s="3" t="inlineStr">
        <is>
          <t>Date of birth  生日</t>
        </is>
      </c>
      <c r="B26" s="15" t="n"/>
      <c r="C26" s="16" t="inlineStr"/>
    </row>
    <row r="29">
      <c r="A29" s="10" t="inlineStr">
        <is>
          <t>Family members  家人</t>
        </is>
      </c>
      <c r="C29" s="16" t="inlineStr">
        <is>
          <t>For birthdays and follow-up. Not shown on the client report.</t>
        </is>
      </c>
    </row>
    <row r="30">
      <c r="A30" s="19" t="inlineStr">
        <is>
          <t>Name  姓名</t>
        </is>
      </c>
      <c r="B30" s="19" t="inlineStr">
        <is>
          <t>Relationship  关系</t>
        </is>
      </c>
      <c r="C30" s="19" t="inlineStr">
        <is>
          <t>Birthday  生日</t>
        </is>
      </c>
      <c r="D30" s="19" t="inlineStr">
        <is>
          <t>Phone  电话</t>
        </is>
      </c>
      <c r="E30" s="19" t="inlineStr">
        <is>
          <t>Notes  备注</t>
        </is>
      </c>
    </row>
    <row r="31">
      <c r="A31" s="12" t="n"/>
      <c r="B31" s="12" t="n"/>
      <c r="C31" s="20" t="n"/>
      <c r="D31" s="21" t="n"/>
      <c r="E31" s="12" t="n"/>
    </row>
    <row r="32">
      <c r="A32" s="12" t="n"/>
      <c r="B32" s="12" t="n"/>
      <c r="C32" s="20" t="n"/>
      <c r="D32" s="21" t="n"/>
      <c r="E32" s="12" t="n"/>
    </row>
    <row r="33">
      <c r="A33" s="12" t="n"/>
      <c r="B33" s="12" t="n"/>
      <c r="C33" s="20" t="n"/>
      <c r="D33" s="21" t="n"/>
      <c r="E33" s="12" t="n"/>
    </row>
    <row r="34">
      <c r="A34" s="12" t="n"/>
      <c r="B34" s="12" t="n"/>
      <c r="C34" s="20" t="n"/>
      <c r="D34" s="21" t="n"/>
      <c r="E34" s="12" t="n"/>
    </row>
    <row r="35">
      <c r="A35" s="12" t="n"/>
      <c r="B35" s="12" t="n"/>
      <c r="C35" s="20" t="n"/>
      <c r="D35" s="21" t="n"/>
      <c r="E35" s="12" t="n"/>
    </row>
    <row r="36">
      <c r="A36" s="12" t="n"/>
      <c r="B36" s="12" t="n"/>
      <c r="C36" s="20" t="n"/>
      <c r="D36" s="21" t="n"/>
      <c r="E36" s="12" t="n"/>
    </row>
    <row r="37">
      <c r="A37" s="12" t="n"/>
      <c r="B37" s="12" t="n"/>
      <c r="C37" s="20" t="n"/>
      <c r="D37" s="21" t="n"/>
      <c r="E37" s="12" t="n"/>
    </row>
    <row r="38">
      <c r="A38" s="12" t="n"/>
      <c r="B38" s="12" t="n"/>
      <c r="C38" s="20" t="n"/>
      <c r="D38" s="21" t="n"/>
      <c r="E38" s="12" t="n"/>
    </row>
    <row r="39">
      <c r="A39" s="12" t="n"/>
      <c r="B39" s="12" t="n"/>
      <c r="C39" s="20" t="n"/>
      <c r="D39" s="21" t="n"/>
      <c r="E39" s="12" t="n"/>
    </row>
    <row r="40">
      <c r="A40" s="12" t="n"/>
      <c r="B40" s="12" t="n"/>
      <c r="C40" s="20" t="n"/>
      <c r="D40" s="21" t="n"/>
      <c r="E40" s="12" t="n"/>
    </row>
    <row r="41">
      <c r="A41" s="12" t="n"/>
      <c r="B41" s="12" t="n"/>
      <c r="C41" s="20" t="n"/>
      <c r="D41" s="21" t="n"/>
      <c r="E41" s="12" t="n"/>
    </row>
    <row r="42">
      <c r="A42" s="12" t="n"/>
      <c r="B42" s="12" t="n"/>
      <c r="C42" s="20" t="n"/>
      <c r="D42" s="21" t="n"/>
      <c r="E42" s="12" t="n"/>
    </row>
    <row r="43">
      <c r="A43" s="12" t="n"/>
      <c r="B43" s="12" t="n"/>
      <c r="C43" s="20" t="n"/>
      <c r="D43" s="21" t="n"/>
      <c r="E43" s="12" t="n"/>
    </row>
    <row r="44">
      <c r="A44" s="12" t="n"/>
      <c r="B44" s="12" t="n"/>
      <c r="C44" s="20" t="n"/>
      <c r="D44" s="21" t="n"/>
      <c r="E44" s="12" t="n"/>
    </row>
    <row r="45">
      <c r="A45" s="12" t="n"/>
      <c r="B45" s="12" t="n"/>
      <c r="C45" s="20" t="n"/>
      <c r="D45" s="21" t="n"/>
      <c r="E45" s="12" t="n"/>
    </row>
  </sheetData>
  <dataValidations count="1">
    <dataValidation sqref="B31 B32 B33 B34 B35 B36 B37 B38 B39 B40 B41 B42 B43 B44 B45" showDropDown="0" showInputMessage="0" showErrorMessage="0" allowBlank="1" type="list">
      <formula1>"Spouse 配偶,Son 儿子,Daughter 女儿,Father 父亲,Mother 母亲,Brother 兄弟,Sister 姐妹,Other 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3FA0"/>
    <outlinePr summaryBelow="1" summaryRight="1"/>
    <pageSetUpPr/>
  </sheetPr>
  <dimension ref="A1:AA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20" customWidth="1" min="5" max="5"/>
    <col width="20" customWidth="1" min="6" max="6"/>
    <col width="11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5" customWidth="1" min="16" max="16"/>
    <col width="13" customWidth="1" min="17" max="17"/>
    <col width="14" customWidth="1" min="18" max="18"/>
    <col width="11" customWidth="1" min="19" max="19"/>
    <col width="22" customWidth="1" min="20" max="20"/>
    <col width="14" customWidth="1" min="21" max="21"/>
    <col width="14" customWidth="1" min="22" max="22"/>
    <col width="30" customWidth="1" min="23" max="23"/>
    <col width="28" customWidth="1" min="24" max="24"/>
    <col width="15" customWidth="1" min="25" max="25"/>
    <col width="12" customWidth="1" min="26" max="26"/>
    <col width="14" customWidth="1" min="27" max="27"/>
  </cols>
  <sheetData>
    <row r="1" ht="42" customHeight="1">
      <c r="A1" s="22" t="inlineStr">
        <is>
          <t>Policy No</t>
        </is>
      </c>
      <c r="B1" s="22" t="inlineStr">
        <is>
          <t>Insurer</t>
        </is>
      </c>
      <c r="C1" s="22" t="inlineStr">
        <is>
          <t>Plan Name</t>
        </is>
      </c>
      <c r="D1" s="22" t="inlineStr">
        <is>
          <t>Policy Type</t>
        </is>
      </c>
      <c r="E1" s="22" t="inlineStr">
        <is>
          <t>Life Assured</t>
        </is>
      </c>
      <c r="F1" s="22" t="inlineStr">
        <is>
          <t>Policy Owner</t>
        </is>
      </c>
      <c r="G1" s="22" t="inlineStr">
        <is>
          <t>Status</t>
        </is>
      </c>
      <c r="H1" s="22" t="inlineStr">
        <is>
          <t>Commencement Date</t>
        </is>
      </c>
      <c r="I1" s="22" t="inlineStr">
        <is>
          <t>Expiry Date</t>
        </is>
      </c>
      <c r="J1" s="22" t="inlineStr">
        <is>
          <t>Premium (RM)</t>
        </is>
      </c>
      <c r="K1" s="22" t="inlineStr">
        <is>
          <t>Payment Mode</t>
        </is>
      </c>
      <c r="L1" s="22" t="inlineStr">
        <is>
          <t>Death (RM)</t>
        </is>
      </c>
      <c r="M1" s="22" t="inlineStr">
        <is>
          <t>TPD (RM)</t>
        </is>
      </c>
      <c r="N1" s="22" t="inlineStr">
        <is>
          <t>Critical Illness (RM)</t>
        </is>
      </c>
      <c r="O1" s="22" t="inlineStr">
        <is>
          <t>Early CI (RM)</t>
        </is>
      </c>
      <c r="P1" s="22" t="inlineStr">
        <is>
          <t>Medical Annual Limit (RM)</t>
        </is>
      </c>
      <c r="Q1" s="22" t="inlineStr">
        <is>
          <t>Room &amp; Board (RM/day)</t>
        </is>
      </c>
      <c r="R1" s="22" t="inlineStr">
        <is>
          <t>Personal Accident (RM)</t>
        </is>
      </c>
      <c r="S1" s="22" t="inlineStr">
        <is>
          <t>Waiver of Premium</t>
        </is>
      </c>
      <c r="T1" s="22" t="inlineStr">
        <is>
          <t>Nominee Name</t>
        </is>
      </c>
      <c r="U1" s="22" t="inlineStr">
        <is>
          <t>Nominee Relationship</t>
        </is>
      </c>
      <c r="V1" s="22" t="inlineStr">
        <is>
          <t>Nomination Type</t>
        </is>
      </c>
      <c r="W1" s="22" t="inlineStr">
        <is>
          <t>Purpose</t>
        </is>
      </c>
      <c r="X1" s="22" t="inlineStr">
        <is>
          <t>Notes</t>
        </is>
      </c>
      <c r="Y1" s="22" t="inlineStr">
        <is>
          <t>Retirement Fund (RM)</t>
        </is>
      </c>
      <c r="Z1" s="22" t="inlineStr">
        <is>
          <t>Trust Created</t>
        </is>
      </c>
      <c r="AA1" s="23" t="inlineStr">
        <is>
          <t>Annual Premium (auto)</t>
        </is>
      </c>
    </row>
    <row r="2">
      <c r="A2" s="12" t="inlineStr">
        <is>
          <t>S-0001</t>
        </is>
      </c>
      <c r="B2" s="12" t="inlineStr">
        <is>
          <t>Great Eastern Life</t>
        </is>
      </c>
      <c r="C2" s="12" t="inlineStr">
        <is>
          <t>Whole Life Plan (sample)</t>
        </is>
      </c>
      <c r="D2" s="12" t="inlineStr">
        <is>
          <t>Whole Life</t>
        </is>
      </c>
      <c r="E2" s="12" t="inlineStr">
        <is>
          <t>TAN MEI LING</t>
        </is>
      </c>
      <c r="F2" s="12" t="inlineStr">
        <is>
          <t>TAN MEI LING</t>
        </is>
      </c>
      <c r="G2" s="12" t="inlineStr">
        <is>
          <t>Inforce</t>
        </is>
      </c>
      <c r="H2" s="20" t="n">
        <v>42078</v>
      </c>
      <c r="I2" s="20" t="n">
        <v>68376</v>
      </c>
      <c r="J2" s="9" t="n">
        <v>250</v>
      </c>
      <c r="K2" s="12" t="inlineStr">
        <is>
          <t>Monthly</t>
        </is>
      </c>
      <c r="L2" s="9" t="n">
        <v>200000</v>
      </c>
      <c r="M2" s="9" t="n">
        <v>200000</v>
      </c>
      <c r="N2" s="9" t="n"/>
      <c r="O2" s="9" t="n"/>
      <c r="P2" s="9" t="n"/>
      <c r="Q2" s="9" t="n"/>
      <c r="R2" s="9" t="n"/>
      <c r="S2" s="12" t="inlineStr">
        <is>
          <t>Yes</t>
        </is>
      </c>
      <c r="T2" s="12" t="inlineStr">
        <is>
          <t>LEE WEI MING</t>
        </is>
      </c>
      <c r="U2" s="12" t="inlineStr">
        <is>
          <t>Husband</t>
        </is>
      </c>
      <c r="V2" s="12" t="inlineStr">
        <is>
          <t>Hibah</t>
        </is>
      </c>
      <c r="W2" s="12" t="inlineStr">
        <is>
          <t>Family income protection</t>
        </is>
      </c>
      <c r="X2" s="12" t="inlineStr"/>
      <c r="Y2" s="9" t="n"/>
      <c r="Z2" s="12" t="n"/>
      <c r="AA2" s="24">
        <f>IF(J2="","",IFERROR(VALUE(SUBSTITUTE(SUBSTITUTE(J2,"RM",""),",",""))*IFERROR(INDEX({12,4,2,1,0},MATCH(K2,{"Monthly","Quarterly","Half-yearly","Yearly","Single"},0)),0),0))</f>
        <v/>
      </c>
    </row>
    <row r="3">
      <c r="A3" s="12" t="inlineStr">
        <is>
          <t>S-0002</t>
        </is>
      </c>
      <c r="B3" s="12" t="inlineStr">
        <is>
          <t>Great Eastern Life</t>
        </is>
      </c>
      <c r="C3" s="12" t="inlineStr">
        <is>
          <t>Medical Investment-Linked (sample)</t>
        </is>
      </c>
      <c r="D3" s="12" t="inlineStr">
        <is>
          <t>Medical</t>
        </is>
      </c>
      <c r="E3" s="12" t="inlineStr">
        <is>
          <t>TAN MEI LING</t>
        </is>
      </c>
      <c r="F3" s="12" t="inlineStr">
        <is>
          <t>TAN MEI LING</t>
        </is>
      </c>
      <c r="G3" s="12" t="inlineStr">
        <is>
          <t>Inforce</t>
        </is>
      </c>
      <c r="H3" s="20" t="n">
        <v>43282</v>
      </c>
      <c r="I3" s="20" t="n">
        <v>68850</v>
      </c>
      <c r="J3" s="9" t="n">
        <v>280</v>
      </c>
      <c r="K3" s="12" t="inlineStr">
        <is>
          <t>Monthly</t>
        </is>
      </c>
      <c r="L3" s="9" t="n">
        <v>50000</v>
      </c>
      <c r="M3" s="9" t="n">
        <v>50000</v>
      </c>
      <c r="N3" s="9" t="n"/>
      <c r="O3" s="9" t="n"/>
      <c r="P3" s="9" t="n">
        <v>150000</v>
      </c>
      <c r="Q3" s="9" t="n">
        <v>150</v>
      </c>
      <c r="R3" s="9" t="n"/>
      <c r="S3" s="12" t="inlineStr">
        <is>
          <t>No</t>
        </is>
      </c>
      <c r="T3" s="12" t="inlineStr"/>
      <c r="U3" s="12" t="inlineStr"/>
      <c r="V3" s="12" t="inlineStr"/>
      <c r="W3" s="12" t="inlineStr">
        <is>
          <t>Hospital &amp; surgery bills</t>
        </is>
      </c>
      <c r="X3" s="12" t="inlineStr">
        <is>
          <t>Nominee not recorded - to confirm</t>
        </is>
      </c>
      <c r="Y3" s="9" t="n"/>
      <c r="Z3" s="12" t="n"/>
      <c r="AA3" s="24">
        <f>IF(J3="","",IFERROR(VALUE(SUBSTITUTE(SUBSTITUTE(J3,"RM",""),",",""))*IFERROR(INDEX({12,4,2,1,0},MATCH(K3,{"Monthly","Quarterly","Half-yearly","Yearly","Single"},0)),0),0))</f>
        <v/>
      </c>
    </row>
    <row r="4">
      <c r="A4" s="12" t="inlineStr">
        <is>
          <t>S-0003</t>
        </is>
      </c>
      <c r="B4" s="12" t="inlineStr">
        <is>
          <t>Other Insurer</t>
        </is>
      </c>
      <c r="C4" s="12" t="inlineStr">
        <is>
          <t>Critical Illness Plan (sample)</t>
        </is>
      </c>
      <c r="D4" s="12" t="inlineStr">
        <is>
          <t>Critical Illness</t>
        </is>
      </c>
      <c r="E4" s="12" t="inlineStr">
        <is>
          <t>TAN MEI LING</t>
        </is>
      </c>
      <c r="F4" s="12" t="inlineStr">
        <is>
          <t>TAN MEI LING</t>
        </is>
      </c>
      <c r="G4" s="12" t="inlineStr">
        <is>
          <t>Inforce</t>
        </is>
      </c>
      <c r="H4" s="20" t="n">
        <v>43840</v>
      </c>
      <c r="I4" s="20" t="n">
        <v>58450</v>
      </c>
      <c r="J4" s="9" t="inlineStr">
        <is>
          <t>RM 1,800.00</t>
        </is>
      </c>
      <c r="K4" s="12" t="inlineStr">
        <is>
          <t>Yearly</t>
        </is>
      </c>
      <c r="L4" s="9" t="n">
        <v>100000</v>
      </c>
      <c r="M4" s="9" t="n"/>
      <c r="N4" s="9" t="n">
        <v>100000</v>
      </c>
      <c r="O4" s="9" t="n"/>
      <c r="P4" s="9" t="n"/>
      <c r="Q4" s="9" t="n"/>
      <c r="R4" s="9" t="n"/>
      <c r="S4" s="12" t="inlineStr">
        <is>
          <t>No</t>
        </is>
      </c>
      <c r="T4" s="12" t="inlineStr">
        <is>
          <t>WONG SIEW LAN</t>
        </is>
      </c>
      <c r="U4" s="12" t="inlineStr">
        <is>
          <t>Mother</t>
        </is>
      </c>
      <c r="V4" s="12" t="inlineStr">
        <is>
          <t>Beneficiary</t>
        </is>
      </c>
      <c r="W4" s="12" t="inlineStr">
        <is>
          <t>Income replacement if diagnosed with CI</t>
        </is>
      </c>
      <c r="X4" s="12" t="inlineStr"/>
      <c r="Y4" s="9" t="n"/>
      <c r="Z4" s="12" t="n"/>
      <c r="AA4" s="24">
        <f>IF(J4="","",IFERROR(VALUE(SUBSTITUTE(SUBSTITUTE(J4,"RM",""),",",""))*IFERROR(INDEX({12,4,2,1,0},MATCH(K4,{"Monthly","Quarterly","Half-yearly","Yearly","Single"},0)),0),0))</f>
        <v/>
      </c>
    </row>
    <row r="5">
      <c r="A5" s="12" t="inlineStr">
        <is>
          <t>S-0004</t>
        </is>
      </c>
      <c r="B5" s="12" t="inlineStr">
        <is>
          <t>Other Insurer</t>
        </is>
      </c>
      <c r="C5" s="12" t="inlineStr">
        <is>
          <t>Personal Accident (sample)</t>
        </is>
      </c>
      <c r="D5" s="12" t="inlineStr">
        <is>
          <t>Personal Accident</t>
        </is>
      </c>
      <c r="E5" s="12" t="inlineStr">
        <is>
          <t>TAN MEI LING</t>
        </is>
      </c>
      <c r="F5" s="12" t="inlineStr">
        <is>
          <t>TAN MEI LING</t>
        </is>
      </c>
      <c r="G5" s="12" t="inlineStr">
        <is>
          <t>Inforce</t>
        </is>
      </c>
      <c r="H5" s="20" t="n">
        <v>45047</v>
      </c>
      <c r="I5" s="20" t="n">
        <v>46508</v>
      </c>
      <c r="J5" s="9" t="n">
        <v>300</v>
      </c>
      <c r="K5" s="12" t="inlineStr">
        <is>
          <t>Yearly</t>
        </is>
      </c>
      <c r="L5" s="9" t="n"/>
      <c r="M5" s="9" t="n"/>
      <c r="N5" s="9" t="n"/>
      <c r="O5" s="9" t="n"/>
      <c r="P5" s="9" t="n"/>
      <c r="Q5" s="9" t="n"/>
      <c r="R5" s="9" t="n">
        <v>100000</v>
      </c>
      <c r="S5" s="12" t="inlineStr">
        <is>
          <t>No</t>
        </is>
      </c>
      <c r="T5" s="12" t="inlineStr"/>
      <c r="U5" s="12" t="inlineStr"/>
      <c r="V5" s="12" t="inlineStr"/>
      <c r="W5" s="12" t="inlineStr">
        <is>
          <t>Accident cover</t>
        </is>
      </c>
      <c r="X5" s="12" t="inlineStr">
        <is>
          <t>Yearly renewable</t>
        </is>
      </c>
      <c r="Y5" s="9" t="n"/>
      <c r="Z5" s="12" t="n"/>
      <c r="AA5" s="24">
        <f>IF(J5="","",IFERROR(VALUE(SUBSTITUTE(SUBSTITUTE(J5,"RM",""),",",""))*IFERROR(INDEX({12,4,2,1,0},MATCH(K5,{"Monthly","Quarterly","Half-yearly","Yearly","Single"},0)),0),0))</f>
        <v/>
      </c>
    </row>
    <row r="6">
      <c r="A6" s="12" t="inlineStr">
        <is>
          <t>S-0005</t>
        </is>
      </c>
      <c r="B6" s="12" t="inlineStr">
        <is>
          <t>Great Eastern Life</t>
        </is>
      </c>
      <c r="C6" s="12" t="inlineStr">
        <is>
          <t>Education Endowment (sample)</t>
        </is>
      </c>
      <c r="D6" s="12" t="inlineStr">
        <is>
          <t>Endowment / Savings</t>
        </is>
      </c>
      <c r="E6" s="12" t="inlineStr">
        <is>
          <t>TAN MEI LING</t>
        </is>
      </c>
      <c r="F6" s="12" t="inlineStr">
        <is>
          <t>TAN MEI LING</t>
        </is>
      </c>
      <c r="G6" s="12" t="inlineStr">
        <is>
          <t>Lapsed</t>
        </is>
      </c>
      <c r="H6" s="20" t="n">
        <v>41153</v>
      </c>
      <c r="I6" s="20" t="n">
        <v>48458</v>
      </c>
      <c r="J6" s="9" t="n">
        <v>100</v>
      </c>
      <c r="K6" s="12" t="inlineStr">
        <is>
          <t>Monthly</t>
        </is>
      </c>
      <c r="L6" s="9" t="n">
        <v>30000</v>
      </c>
      <c r="M6" s="9" t="n"/>
      <c r="N6" s="9" t="n"/>
      <c r="O6" s="9" t="n"/>
      <c r="P6" s="9" t="n"/>
      <c r="Q6" s="9" t="n"/>
      <c r="R6" s="9" t="n"/>
      <c r="S6" s="12" t="inlineStr">
        <is>
          <t>No</t>
        </is>
      </c>
      <c r="T6" s="12" t="inlineStr">
        <is>
          <t>LEE JIA HUI</t>
        </is>
      </c>
      <c r="U6" s="12" t="inlineStr">
        <is>
          <t>Daughter</t>
        </is>
      </c>
      <c r="V6" s="12" t="inlineStr">
        <is>
          <t>Beneficiary</t>
        </is>
      </c>
      <c r="W6" s="12" t="inlineStr">
        <is>
          <t>Child education fund</t>
        </is>
      </c>
      <c r="X6" s="12" t="inlineStr">
        <is>
          <t>Lapsed 2021 - discuss reinstatement?</t>
        </is>
      </c>
      <c r="Y6" s="9" t="n"/>
      <c r="Z6" s="12" t="n"/>
      <c r="AA6" s="24">
        <f>IF(J6="","",IFERROR(VALUE(SUBSTITUTE(SUBSTITUTE(J6,"RM",""),",",""))*IFERROR(INDEX({12,4,2,1,0},MATCH(K6,{"Monthly","Quarterly","Half-yearly","Yearly","Single"},0)),0),0))</f>
        <v/>
      </c>
    </row>
    <row r="7">
      <c r="A7" s="12" t="n"/>
      <c r="B7" s="12" t="n"/>
      <c r="C7" s="12" t="n"/>
      <c r="D7" s="12" t="n"/>
      <c r="E7" s="12" t="n"/>
      <c r="F7" s="12" t="n"/>
      <c r="G7" s="12" t="n"/>
      <c r="H7" s="20" t="n"/>
      <c r="I7" s="20" t="n"/>
      <c r="J7" s="9" t="n"/>
      <c r="K7" s="12" t="n"/>
      <c r="L7" s="9" t="n"/>
      <c r="M7" s="9" t="n"/>
      <c r="N7" s="9" t="n"/>
      <c r="O7" s="9" t="n"/>
      <c r="P7" s="9" t="n"/>
      <c r="Q7" s="9" t="n"/>
      <c r="R7" s="9" t="n"/>
      <c r="S7" s="12" t="n"/>
      <c r="T7" s="12" t="n"/>
      <c r="U7" s="12" t="n"/>
      <c r="V7" s="12" t="n"/>
      <c r="W7" s="12" t="n"/>
      <c r="X7" s="12" t="n"/>
      <c r="Y7" s="9" t="n"/>
      <c r="Z7" s="12" t="n"/>
      <c r="AA7" s="24">
        <f>IF(J7="","",IFERROR(VALUE(SUBSTITUTE(SUBSTITUTE(J7,"RM",""),",",""))*IFERROR(INDEX({12,4,2,1,0},MATCH(K7,{"Monthly","Quarterly","Half-yearly","Yearly","Single"},0)),0),0))</f>
        <v/>
      </c>
    </row>
    <row r="8">
      <c r="A8" s="12" t="n"/>
      <c r="B8" s="12" t="n"/>
      <c r="C8" s="12" t="n"/>
      <c r="D8" s="12" t="n"/>
      <c r="E8" s="12" t="n"/>
      <c r="F8" s="12" t="n"/>
      <c r="G8" s="12" t="n"/>
      <c r="H8" s="20" t="n"/>
      <c r="I8" s="20" t="n"/>
      <c r="J8" s="9" t="n"/>
      <c r="K8" s="12" t="n"/>
      <c r="L8" s="9" t="n"/>
      <c r="M8" s="9" t="n"/>
      <c r="N8" s="9" t="n"/>
      <c r="O8" s="9" t="n"/>
      <c r="P8" s="9" t="n"/>
      <c r="Q8" s="9" t="n"/>
      <c r="R8" s="9" t="n"/>
      <c r="S8" s="12" t="n"/>
      <c r="T8" s="12" t="n"/>
      <c r="U8" s="12" t="n"/>
      <c r="V8" s="12" t="n"/>
      <c r="W8" s="12" t="n"/>
      <c r="X8" s="12" t="n"/>
      <c r="Y8" s="9" t="n"/>
      <c r="Z8" s="12" t="n"/>
      <c r="AA8" s="24">
        <f>IF(J8="","",IFERROR(VALUE(SUBSTITUTE(SUBSTITUTE(J8,"RM",""),",",""))*IFERROR(INDEX({12,4,2,1,0},MATCH(K8,{"Monthly","Quarterly","Half-yearly","Yearly","Single"},0)),0),0))</f>
        <v/>
      </c>
    </row>
    <row r="9">
      <c r="A9" s="12" t="n"/>
      <c r="B9" s="12" t="n"/>
      <c r="C9" s="12" t="n"/>
      <c r="D9" s="12" t="n"/>
      <c r="E9" s="12" t="n"/>
      <c r="F9" s="12" t="n"/>
      <c r="G9" s="12" t="n"/>
      <c r="H9" s="20" t="n"/>
      <c r="I9" s="20" t="n"/>
      <c r="J9" s="9" t="n"/>
      <c r="K9" s="12" t="n"/>
      <c r="L9" s="9" t="n"/>
      <c r="M9" s="9" t="n"/>
      <c r="N9" s="9" t="n"/>
      <c r="O9" s="9" t="n"/>
      <c r="P9" s="9" t="n"/>
      <c r="Q9" s="9" t="n"/>
      <c r="R9" s="9" t="n"/>
      <c r="S9" s="12" t="n"/>
      <c r="T9" s="12" t="n"/>
      <c r="U9" s="12" t="n"/>
      <c r="V9" s="12" t="n"/>
      <c r="W9" s="12" t="n"/>
      <c r="X9" s="12" t="n"/>
      <c r="Y9" s="9" t="n"/>
      <c r="Z9" s="12" t="n"/>
      <c r="AA9" s="24">
        <f>IF(J9="","",IFERROR(VALUE(SUBSTITUTE(SUBSTITUTE(J9,"RM",""),",",""))*IFERROR(INDEX({12,4,2,1,0},MATCH(K9,{"Monthly","Quarterly","Half-yearly","Yearly","Single"},0)),0),0))</f>
        <v/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20" t="n"/>
      <c r="I10" s="20" t="n"/>
      <c r="J10" s="9" t="n"/>
      <c r="K10" s="12" t="n"/>
      <c r="L10" s="9" t="n"/>
      <c r="M10" s="9" t="n"/>
      <c r="N10" s="9" t="n"/>
      <c r="O10" s="9" t="n"/>
      <c r="P10" s="9" t="n"/>
      <c r="Q10" s="9" t="n"/>
      <c r="R10" s="9" t="n"/>
      <c r="S10" s="12" t="n"/>
      <c r="T10" s="12" t="n"/>
      <c r="U10" s="12" t="n"/>
      <c r="V10" s="12" t="n"/>
      <c r="W10" s="12" t="n"/>
      <c r="X10" s="12" t="n"/>
      <c r="Y10" s="9" t="n"/>
      <c r="Z10" s="12" t="n"/>
      <c r="AA10" s="24">
        <f>IF(J10="","",IFERROR(VALUE(SUBSTITUTE(SUBSTITUTE(J10,"RM",""),",",""))*IFERROR(INDEX({12,4,2,1,0},MATCH(K10,{"Monthly","Quarterly","Half-yearly","Yearly","Single"},0)),0),0))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20" t="n"/>
      <c r="I11" s="20" t="n"/>
      <c r="J11" s="9" t="n"/>
      <c r="K11" s="12" t="n"/>
      <c r="L11" s="9" t="n"/>
      <c r="M11" s="9" t="n"/>
      <c r="N11" s="9" t="n"/>
      <c r="O11" s="9" t="n"/>
      <c r="P11" s="9" t="n"/>
      <c r="Q11" s="9" t="n"/>
      <c r="R11" s="9" t="n"/>
      <c r="S11" s="12" t="n"/>
      <c r="T11" s="12" t="n"/>
      <c r="U11" s="12" t="n"/>
      <c r="V11" s="12" t="n"/>
      <c r="W11" s="12" t="n"/>
      <c r="X11" s="12" t="n"/>
      <c r="Y11" s="9" t="n"/>
      <c r="Z11" s="12" t="n"/>
      <c r="AA11" s="24">
        <f>IF(J11="","",IFERROR(VALUE(SUBSTITUTE(SUBSTITUTE(J11,"RM",""),",",""))*IFERROR(INDEX({12,4,2,1,0},MATCH(K11,{"Monthly","Quarterly","Half-yearly","Yearly","Single"},0)),0),0))</f>
        <v/>
      </c>
    </row>
    <row r="12">
      <c r="A12" s="12" t="n"/>
      <c r="B12" s="12" t="n"/>
      <c r="C12" s="12" t="n"/>
      <c r="D12" s="12" t="n"/>
      <c r="E12" s="12" t="n"/>
      <c r="F12" s="12" t="n"/>
      <c r="G12" s="12" t="n"/>
      <c r="H12" s="20" t="n"/>
      <c r="I12" s="20" t="n"/>
      <c r="J12" s="9" t="n"/>
      <c r="K12" s="12" t="n"/>
      <c r="L12" s="9" t="n"/>
      <c r="M12" s="9" t="n"/>
      <c r="N12" s="9" t="n"/>
      <c r="O12" s="9" t="n"/>
      <c r="P12" s="9" t="n"/>
      <c r="Q12" s="9" t="n"/>
      <c r="R12" s="9" t="n"/>
      <c r="S12" s="12" t="n"/>
      <c r="T12" s="12" t="n"/>
      <c r="U12" s="12" t="n"/>
      <c r="V12" s="12" t="n"/>
      <c r="W12" s="12" t="n"/>
      <c r="X12" s="12" t="n"/>
      <c r="Y12" s="9" t="n"/>
      <c r="Z12" s="12" t="n"/>
      <c r="AA12" s="24">
        <f>IF(J12="","",IFERROR(VALUE(SUBSTITUTE(SUBSTITUTE(J12,"RM",""),",",""))*IFERROR(INDEX({12,4,2,1,0},MATCH(K12,{"Monthly","Quarterly","Half-yearly","Yearly","Single"},0)),0),0))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20" t="n"/>
      <c r="I13" s="20" t="n"/>
      <c r="J13" s="9" t="n"/>
      <c r="K13" s="12" t="n"/>
      <c r="L13" s="9" t="n"/>
      <c r="M13" s="9" t="n"/>
      <c r="N13" s="9" t="n"/>
      <c r="O13" s="9" t="n"/>
      <c r="P13" s="9" t="n"/>
      <c r="Q13" s="9" t="n"/>
      <c r="R13" s="9" t="n"/>
      <c r="S13" s="12" t="n"/>
      <c r="T13" s="12" t="n"/>
      <c r="U13" s="12" t="n"/>
      <c r="V13" s="12" t="n"/>
      <c r="W13" s="12" t="n"/>
      <c r="X13" s="12" t="n"/>
      <c r="Y13" s="9" t="n"/>
      <c r="Z13" s="12" t="n"/>
      <c r="AA13" s="24">
        <f>IF(J13="","",IFERROR(VALUE(SUBSTITUTE(SUBSTITUTE(J13,"RM",""),",",""))*IFERROR(INDEX({12,4,2,1,0},MATCH(K13,{"Monthly","Quarterly","Half-yearly","Yearly","Single"},0)),0),0))</f>
        <v/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20" t="n"/>
      <c r="I14" s="20" t="n"/>
      <c r="J14" s="9" t="n"/>
      <c r="K14" s="12" t="n"/>
      <c r="L14" s="9" t="n"/>
      <c r="M14" s="9" t="n"/>
      <c r="N14" s="9" t="n"/>
      <c r="O14" s="9" t="n"/>
      <c r="P14" s="9" t="n"/>
      <c r="Q14" s="9" t="n"/>
      <c r="R14" s="9" t="n"/>
      <c r="S14" s="12" t="n"/>
      <c r="T14" s="12" t="n"/>
      <c r="U14" s="12" t="n"/>
      <c r="V14" s="12" t="n"/>
      <c r="W14" s="12" t="n"/>
      <c r="X14" s="12" t="n"/>
      <c r="Y14" s="9" t="n"/>
      <c r="Z14" s="12" t="n"/>
      <c r="AA14" s="24">
        <f>IF(J14="","",IFERROR(VALUE(SUBSTITUTE(SUBSTITUTE(J14,"RM",""),",",""))*IFERROR(INDEX({12,4,2,1,0},MATCH(K14,{"Monthly","Quarterly","Half-yearly","Yearly","Single"},0)),0),0))</f>
        <v/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20" t="n"/>
      <c r="I15" s="20" t="n"/>
      <c r="J15" s="9" t="n"/>
      <c r="K15" s="12" t="n"/>
      <c r="L15" s="9" t="n"/>
      <c r="M15" s="9" t="n"/>
      <c r="N15" s="9" t="n"/>
      <c r="O15" s="9" t="n"/>
      <c r="P15" s="9" t="n"/>
      <c r="Q15" s="9" t="n"/>
      <c r="R15" s="9" t="n"/>
      <c r="S15" s="12" t="n"/>
      <c r="T15" s="12" t="n"/>
      <c r="U15" s="12" t="n"/>
      <c r="V15" s="12" t="n"/>
      <c r="W15" s="12" t="n"/>
      <c r="X15" s="12" t="n"/>
      <c r="Y15" s="9" t="n"/>
      <c r="Z15" s="12" t="n"/>
      <c r="AA15" s="24">
        <f>IF(J15="","",IFERROR(VALUE(SUBSTITUTE(SUBSTITUTE(J15,"RM",""),",",""))*IFERROR(INDEX({12,4,2,1,0},MATCH(K15,{"Monthly","Quarterly","Half-yearly","Yearly","Single"},0)),0),0))</f>
        <v/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20" t="n"/>
      <c r="I16" s="20" t="n"/>
      <c r="J16" s="9" t="n"/>
      <c r="K16" s="12" t="n"/>
      <c r="L16" s="9" t="n"/>
      <c r="M16" s="9" t="n"/>
      <c r="N16" s="9" t="n"/>
      <c r="O16" s="9" t="n"/>
      <c r="P16" s="9" t="n"/>
      <c r="Q16" s="9" t="n"/>
      <c r="R16" s="9" t="n"/>
      <c r="S16" s="12" t="n"/>
      <c r="T16" s="12" t="n"/>
      <c r="U16" s="12" t="n"/>
      <c r="V16" s="12" t="n"/>
      <c r="W16" s="12" t="n"/>
      <c r="X16" s="12" t="n"/>
      <c r="Y16" s="9" t="n"/>
      <c r="Z16" s="12" t="n"/>
      <c r="AA16" s="24">
        <f>IF(J16="","",IFERROR(VALUE(SUBSTITUTE(SUBSTITUTE(J16,"RM",""),",",""))*IFERROR(INDEX({12,4,2,1,0},MATCH(K16,{"Monthly","Quarterly","Half-yearly","Yearly","Single"},0)),0),0))</f>
        <v/>
      </c>
    </row>
    <row r="17">
      <c r="A17" s="12" t="n"/>
      <c r="B17" s="12" t="n"/>
      <c r="C17" s="12" t="n"/>
      <c r="D17" s="12" t="n"/>
      <c r="E17" s="12" t="n"/>
      <c r="F17" s="12" t="n"/>
      <c r="G17" s="12" t="n"/>
      <c r="H17" s="20" t="n"/>
      <c r="I17" s="20" t="n"/>
      <c r="J17" s="9" t="n"/>
      <c r="K17" s="12" t="n"/>
      <c r="L17" s="9" t="n"/>
      <c r="M17" s="9" t="n"/>
      <c r="N17" s="9" t="n"/>
      <c r="O17" s="9" t="n"/>
      <c r="P17" s="9" t="n"/>
      <c r="Q17" s="9" t="n"/>
      <c r="R17" s="9" t="n"/>
      <c r="S17" s="12" t="n"/>
      <c r="T17" s="12" t="n"/>
      <c r="U17" s="12" t="n"/>
      <c r="V17" s="12" t="n"/>
      <c r="W17" s="12" t="n"/>
      <c r="X17" s="12" t="n"/>
      <c r="Y17" s="9" t="n"/>
      <c r="Z17" s="12" t="n"/>
      <c r="AA17" s="24">
        <f>IF(J17="","",IFERROR(VALUE(SUBSTITUTE(SUBSTITUTE(J17,"RM",""),",",""))*IFERROR(INDEX({12,4,2,1,0},MATCH(K17,{"Monthly","Quarterly","Half-yearly","Yearly","Single"},0)),0),0))</f>
        <v/>
      </c>
    </row>
    <row r="18">
      <c r="A18" s="12" t="n"/>
      <c r="B18" s="12" t="n"/>
      <c r="C18" s="12" t="n"/>
      <c r="D18" s="12" t="n"/>
      <c r="E18" s="12" t="n"/>
      <c r="F18" s="12" t="n"/>
      <c r="G18" s="12" t="n"/>
      <c r="H18" s="20" t="n"/>
      <c r="I18" s="20" t="n"/>
      <c r="J18" s="9" t="n"/>
      <c r="K18" s="12" t="n"/>
      <c r="L18" s="9" t="n"/>
      <c r="M18" s="9" t="n"/>
      <c r="N18" s="9" t="n"/>
      <c r="O18" s="9" t="n"/>
      <c r="P18" s="9" t="n"/>
      <c r="Q18" s="9" t="n"/>
      <c r="R18" s="9" t="n"/>
      <c r="S18" s="12" t="n"/>
      <c r="T18" s="12" t="n"/>
      <c r="U18" s="12" t="n"/>
      <c r="V18" s="12" t="n"/>
      <c r="W18" s="12" t="n"/>
      <c r="X18" s="12" t="n"/>
      <c r="Y18" s="9" t="n"/>
      <c r="Z18" s="12" t="n"/>
      <c r="AA18" s="24">
        <f>IF(J18="","",IFERROR(VALUE(SUBSTITUTE(SUBSTITUTE(J18,"RM",""),",",""))*IFERROR(INDEX({12,4,2,1,0},MATCH(K18,{"Monthly","Quarterly","Half-yearly","Yearly","Single"},0)),0),0))</f>
        <v/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20" t="n"/>
      <c r="I19" s="20" t="n"/>
      <c r="J19" s="9" t="n"/>
      <c r="K19" s="12" t="n"/>
      <c r="L19" s="9" t="n"/>
      <c r="M19" s="9" t="n"/>
      <c r="N19" s="9" t="n"/>
      <c r="O19" s="9" t="n"/>
      <c r="P19" s="9" t="n"/>
      <c r="Q19" s="9" t="n"/>
      <c r="R19" s="9" t="n"/>
      <c r="S19" s="12" t="n"/>
      <c r="T19" s="12" t="n"/>
      <c r="U19" s="12" t="n"/>
      <c r="V19" s="12" t="n"/>
      <c r="W19" s="12" t="n"/>
      <c r="X19" s="12" t="n"/>
      <c r="Y19" s="9" t="n"/>
      <c r="Z19" s="12" t="n"/>
      <c r="AA19" s="24">
        <f>IF(J19="","",IFERROR(VALUE(SUBSTITUTE(SUBSTITUTE(J19,"RM",""),",",""))*IFERROR(INDEX({12,4,2,1,0},MATCH(K19,{"Monthly","Quarterly","Half-yearly","Yearly","Single"},0)),0),0))</f>
        <v/>
      </c>
    </row>
    <row r="20">
      <c r="A20" s="12" t="n"/>
      <c r="B20" s="12" t="n"/>
      <c r="C20" s="12" t="n"/>
      <c r="D20" s="12" t="n"/>
      <c r="E20" s="12" t="n"/>
      <c r="F20" s="12" t="n"/>
      <c r="G20" s="12" t="n"/>
      <c r="H20" s="20" t="n"/>
      <c r="I20" s="20" t="n"/>
      <c r="J20" s="9" t="n"/>
      <c r="K20" s="12" t="n"/>
      <c r="L20" s="9" t="n"/>
      <c r="M20" s="9" t="n"/>
      <c r="N20" s="9" t="n"/>
      <c r="O20" s="9" t="n"/>
      <c r="P20" s="9" t="n"/>
      <c r="Q20" s="9" t="n"/>
      <c r="R20" s="9" t="n"/>
      <c r="S20" s="12" t="n"/>
      <c r="T20" s="12" t="n"/>
      <c r="U20" s="12" t="n"/>
      <c r="V20" s="12" t="n"/>
      <c r="W20" s="12" t="n"/>
      <c r="X20" s="12" t="n"/>
      <c r="Y20" s="9" t="n"/>
      <c r="Z20" s="12" t="n"/>
      <c r="AA20" s="24">
        <f>IF(J20="","",IFERROR(VALUE(SUBSTITUTE(SUBSTITUTE(J20,"RM",""),",",""))*IFERROR(INDEX({12,4,2,1,0},MATCH(K20,{"Monthly","Quarterly","Half-yearly","Yearly","Single"},0)),0),0))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20" t="n"/>
      <c r="I21" s="20" t="n"/>
      <c r="J21" s="9" t="n"/>
      <c r="K21" s="12" t="n"/>
      <c r="L21" s="9" t="n"/>
      <c r="M21" s="9" t="n"/>
      <c r="N21" s="9" t="n"/>
      <c r="O21" s="9" t="n"/>
      <c r="P21" s="9" t="n"/>
      <c r="Q21" s="9" t="n"/>
      <c r="R21" s="9" t="n"/>
      <c r="S21" s="12" t="n"/>
      <c r="T21" s="12" t="n"/>
      <c r="U21" s="12" t="n"/>
      <c r="V21" s="12" t="n"/>
      <c r="W21" s="12" t="n"/>
      <c r="X21" s="12" t="n"/>
      <c r="Y21" s="9" t="n"/>
      <c r="Z21" s="12" t="n"/>
      <c r="AA21" s="24">
        <f>IF(J21="","",IFERROR(VALUE(SUBSTITUTE(SUBSTITUTE(J21,"RM",""),",",""))*IFERROR(INDEX({12,4,2,1,0},MATCH(K21,{"Monthly","Quarterly","Half-yearly","Yearly","Single"},0)),0),0))</f>
        <v/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20" t="n"/>
      <c r="I22" s="20" t="n"/>
      <c r="J22" s="9" t="n"/>
      <c r="K22" s="12" t="n"/>
      <c r="L22" s="9" t="n"/>
      <c r="M22" s="9" t="n"/>
      <c r="N22" s="9" t="n"/>
      <c r="O22" s="9" t="n"/>
      <c r="P22" s="9" t="n"/>
      <c r="Q22" s="9" t="n"/>
      <c r="R22" s="9" t="n"/>
      <c r="S22" s="12" t="n"/>
      <c r="T22" s="12" t="n"/>
      <c r="U22" s="12" t="n"/>
      <c r="V22" s="12" t="n"/>
      <c r="W22" s="12" t="n"/>
      <c r="X22" s="12" t="n"/>
      <c r="Y22" s="9" t="n"/>
      <c r="Z22" s="12" t="n"/>
      <c r="AA22" s="24">
        <f>IF(J22="","",IFERROR(VALUE(SUBSTITUTE(SUBSTITUTE(J22,"RM",""),",",""))*IFERROR(INDEX({12,4,2,1,0},MATCH(K22,{"Monthly","Quarterly","Half-yearly","Yearly","Single"},0)),0),0))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20" t="n"/>
      <c r="I23" s="20" t="n"/>
      <c r="J23" s="9" t="n"/>
      <c r="K23" s="12" t="n"/>
      <c r="L23" s="9" t="n"/>
      <c r="M23" s="9" t="n"/>
      <c r="N23" s="9" t="n"/>
      <c r="O23" s="9" t="n"/>
      <c r="P23" s="9" t="n"/>
      <c r="Q23" s="9" t="n"/>
      <c r="R23" s="9" t="n"/>
      <c r="S23" s="12" t="n"/>
      <c r="T23" s="12" t="n"/>
      <c r="U23" s="12" t="n"/>
      <c r="V23" s="12" t="n"/>
      <c r="W23" s="12" t="n"/>
      <c r="X23" s="12" t="n"/>
      <c r="Y23" s="9" t="n"/>
      <c r="Z23" s="12" t="n"/>
      <c r="AA23" s="24">
        <f>IF(J23="","",IFERROR(VALUE(SUBSTITUTE(SUBSTITUTE(J23,"RM",""),",",""))*IFERROR(INDEX({12,4,2,1,0},MATCH(K23,{"Monthly","Quarterly","Half-yearly","Yearly","Single"},0)),0),0))</f>
        <v/>
      </c>
    </row>
    <row r="24">
      <c r="A24" s="12" t="n"/>
      <c r="B24" s="12" t="n"/>
      <c r="C24" s="12" t="n"/>
      <c r="D24" s="12" t="n"/>
      <c r="E24" s="12" t="n"/>
      <c r="F24" s="12" t="n"/>
      <c r="G24" s="12" t="n"/>
      <c r="H24" s="20" t="n"/>
      <c r="I24" s="20" t="n"/>
      <c r="J24" s="9" t="n"/>
      <c r="K24" s="12" t="n"/>
      <c r="L24" s="9" t="n"/>
      <c r="M24" s="9" t="n"/>
      <c r="N24" s="9" t="n"/>
      <c r="O24" s="9" t="n"/>
      <c r="P24" s="9" t="n"/>
      <c r="Q24" s="9" t="n"/>
      <c r="R24" s="9" t="n"/>
      <c r="S24" s="12" t="n"/>
      <c r="T24" s="12" t="n"/>
      <c r="U24" s="12" t="n"/>
      <c r="V24" s="12" t="n"/>
      <c r="W24" s="12" t="n"/>
      <c r="X24" s="12" t="n"/>
      <c r="Y24" s="9" t="n"/>
      <c r="Z24" s="12" t="n"/>
      <c r="AA24" s="24">
        <f>IF(J24="","",IFERROR(VALUE(SUBSTITUTE(SUBSTITUTE(J24,"RM",""),",",""))*IFERROR(INDEX({12,4,2,1,0},MATCH(K24,{"Monthly","Quarterly","Half-yearly","Yearly","Single"},0)),0),0))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20" t="n"/>
      <c r="I25" s="20" t="n"/>
      <c r="J25" s="9" t="n"/>
      <c r="K25" s="12" t="n"/>
      <c r="L25" s="9" t="n"/>
      <c r="M25" s="9" t="n"/>
      <c r="N25" s="9" t="n"/>
      <c r="O25" s="9" t="n"/>
      <c r="P25" s="9" t="n"/>
      <c r="Q25" s="9" t="n"/>
      <c r="R25" s="9" t="n"/>
      <c r="S25" s="12" t="n"/>
      <c r="T25" s="12" t="n"/>
      <c r="U25" s="12" t="n"/>
      <c r="V25" s="12" t="n"/>
      <c r="W25" s="12" t="n"/>
      <c r="X25" s="12" t="n"/>
      <c r="Y25" s="9" t="n"/>
      <c r="Z25" s="12" t="n"/>
      <c r="AA25" s="24">
        <f>IF(J25="","",IFERROR(VALUE(SUBSTITUTE(SUBSTITUTE(J25,"RM",""),",",""))*IFERROR(INDEX({12,4,2,1,0},MATCH(K25,{"Monthly","Quarterly","Half-yearly","Yearly","Single"},0)),0),0))</f>
        <v/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20" t="n"/>
      <c r="I26" s="20" t="n"/>
      <c r="J26" s="9" t="n"/>
      <c r="K26" s="12" t="n"/>
      <c r="L26" s="9" t="n"/>
      <c r="M26" s="9" t="n"/>
      <c r="N26" s="9" t="n"/>
      <c r="O26" s="9" t="n"/>
      <c r="P26" s="9" t="n"/>
      <c r="Q26" s="9" t="n"/>
      <c r="R26" s="9" t="n"/>
      <c r="S26" s="12" t="n"/>
      <c r="T26" s="12" t="n"/>
      <c r="U26" s="12" t="n"/>
      <c r="V26" s="12" t="n"/>
      <c r="W26" s="12" t="n"/>
      <c r="X26" s="12" t="n"/>
      <c r="Y26" s="9" t="n"/>
      <c r="Z26" s="12" t="n"/>
      <c r="AA26" s="24">
        <f>IF(J26="","",IFERROR(VALUE(SUBSTITUTE(SUBSTITUTE(J26,"RM",""),",",""))*IFERROR(INDEX({12,4,2,1,0},MATCH(K26,{"Monthly","Quarterly","Half-yearly","Yearly","Single"},0)),0),0))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20" t="n"/>
      <c r="I27" s="20" t="n"/>
      <c r="J27" s="9" t="n"/>
      <c r="K27" s="12" t="n"/>
      <c r="L27" s="9" t="n"/>
      <c r="M27" s="9" t="n"/>
      <c r="N27" s="9" t="n"/>
      <c r="O27" s="9" t="n"/>
      <c r="P27" s="9" t="n"/>
      <c r="Q27" s="9" t="n"/>
      <c r="R27" s="9" t="n"/>
      <c r="S27" s="12" t="n"/>
      <c r="T27" s="12" t="n"/>
      <c r="U27" s="12" t="n"/>
      <c r="V27" s="12" t="n"/>
      <c r="W27" s="12" t="n"/>
      <c r="X27" s="12" t="n"/>
      <c r="Y27" s="9" t="n"/>
      <c r="Z27" s="12" t="n"/>
      <c r="AA27" s="24">
        <f>IF(J27="","",IFERROR(VALUE(SUBSTITUTE(SUBSTITUTE(J27,"RM",""),",",""))*IFERROR(INDEX({12,4,2,1,0},MATCH(K27,{"Monthly","Quarterly","Half-yearly","Yearly","Single"},0)),0),0))</f>
        <v/>
      </c>
    </row>
    <row r="28">
      <c r="A28" s="12" t="n"/>
      <c r="B28" s="12" t="n"/>
      <c r="C28" s="12" t="n"/>
      <c r="D28" s="12" t="n"/>
      <c r="E28" s="12" t="n"/>
      <c r="F28" s="12" t="n"/>
      <c r="G28" s="12" t="n"/>
      <c r="H28" s="20" t="n"/>
      <c r="I28" s="20" t="n"/>
      <c r="J28" s="9" t="n"/>
      <c r="K28" s="12" t="n"/>
      <c r="L28" s="9" t="n"/>
      <c r="M28" s="9" t="n"/>
      <c r="N28" s="9" t="n"/>
      <c r="O28" s="9" t="n"/>
      <c r="P28" s="9" t="n"/>
      <c r="Q28" s="9" t="n"/>
      <c r="R28" s="9" t="n"/>
      <c r="S28" s="12" t="n"/>
      <c r="T28" s="12" t="n"/>
      <c r="U28" s="12" t="n"/>
      <c r="V28" s="12" t="n"/>
      <c r="W28" s="12" t="n"/>
      <c r="X28" s="12" t="n"/>
      <c r="Y28" s="9" t="n"/>
      <c r="Z28" s="12" t="n"/>
      <c r="AA28" s="24">
        <f>IF(J28="","",IFERROR(VALUE(SUBSTITUTE(SUBSTITUTE(J28,"RM",""),",",""))*IFERROR(INDEX({12,4,2,1,0},MATCH(K28,{"Monthly","Quarterly","Half-yearly","Yearly","Single"},0)),0),0))</f>
        <v/>
      </c>
    </row>
    <row r="29">
      <c r="A29" s="12" t="n"/>
      <c r="B29" s="12" t="n"/>
      <c r="C29" s="12" t="n"/>
      <c r="D29" s="12" t="n"/>
      <c r="E29" s="12" t="n"/>
      <c r="F29" s="12" t="n"/>
      <c r="G29" s="12" t="n"/>
      <c r="H29" s="20" t="n"/>
      <c r="I29" s="20" t="n"/>
      <c r="J29" s="9" t="n"/>
      <c r="K29" s="12" t="n"/>
      <c r="L29" s="9" t="n"/>
      <c r="M29" s="9" t="n"/>
      <c r="N29" s="9" t="n"/>
      <c r="O29" s="9" t="n"/>
      <c r="P29" s="9" t="n"/>
      <c r="Q29" s="9" t="n"/>
      <c r="R29" s="9" t="n"/>
      <c r="S29" s="12" t="n"/>
      <c r="T29" s="12" t="n"/>
      <c r="U29" s="12" t="n"/>
      <c r="V29" s="12" t="n"/>
      <c r="W29" s="12" t="n"/>
      <c r="X29" s="12" t="n"/>
      <c r="Y29" s="9" t="n"/>
      <c r="Z29" s="12" t="n"/>
      <c r="AA29" s="24">
        <f>IF(J29="","",IFERROR(VALUE(SUBSTITUTE(SUBSTITUTE(J29,"RM",""),",",""))*IFERROR(INDEX({12,4,2,1,0},MATCH(K29,{"Monthly","Quarterly","Half-yearly","Yearly","Single"},0)),0),0))</f>
        <v/>
      </c>
    </row>
    <row r="30">
      <c r="A30" s="12" t="n"/>
      <c r="B30" s="12" t="n"/>
      <c r="C30" s="12" t="n"/>
      <c r="D30" s="12" t="n"/>
      <c r="E30" s="12" t="n"/>
      <c r="F30" s="12" t="n"/>
      <c r="G30" s="12" t="n"/>
      <c r="H30" s="20" t="n"/>
      <c r="I30" s="20" t="n"/>
      <c r="J30" s="9" t="n"/>
      <c r="K30" s="12" t="n"/>
      <c r="L30" s="9" t="n"/>
      <c r="M30" s="9" t="n"/>
      <c r="N30" s="9" t="n"/>
      <c r="O30" s="9" t="n"/>
      <c r="P30" s="9" t="n"/>
      <c r="Q30" s="9" t="n"/>
      <c r="R30" s="9" t="n"/>
      <c r="S30" s="12" t="n"/>
      <c r="T30" s="12" t="n"/>
      <c r="U30" s="12" t="n"/>
      <c r="V30" s="12" t="n"/>
      <c r="W30" s="12" t="n"/>
      <c r="X30" s="12" t="n"/>
      <c r="Y30" s="9" t="n"/>
      <c r="Z30" s="12" t="n"/>
      <c r="AA30" s="24">
        <f>IF(J30="","",IFERROR(VALUE(SUBSTITUTE(SUBSTITUTE(J30,"RM",""),",",""))*IFERROR(INDEX({12,4,2,1,0},MATCH(K30,{"Monthly","Quarterly","Half-yearly","Yearly","Single"},0)),0),0))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20" t="n"/>
      <c r="I31" s="20" t="n"/>
      <c r="J31" s="9" t="n"/>
      <c r="K31" s="12" t="n"/>
      <c r="L31" s="9" t="n"/>
      <c r="M31" s="9" t="n"/>
      <c r="N31" s="9" t="n"/>
      <c r="O31" s="9" t="n"/>
      <c r="P31" s="9" t="n"/>
      <c r="Q31" s="9" t="n"/>
      <c r="R31" s="9" t="n"/>
      <c r="S31" s="12" t="n"/>
      <c r="T31" s="12" t="n"/>
      <c r="U31" s="12" t="n"/>
      <c r="V31" s="12" t="n"/>
      <c r="W31" s="12" t="n"/>
      <c r="X31" s="12" t="n"/>
      <c r="Y31" s="9" t="n"/>
      <c r="Z31" s="12" t="n"/>
      <c r="AA31" s="24">
        <f>IF(J31="","",IFERROR(VALUE(SUBSTITUTE(SUBSTITUTE(J31,"RM",""),",",""))*IFERROR(INDEX({12,4,2,1,0},MATCH(K31,{"Monthly","Quarterly","Half-yearly","Yearly","Single"},0)),0),0))</f>
        <v/>
      </c>
    </row>
    <row r="32">
      <c r="A32" s="12" t="n"/>
      <c r="B32" s="12" t="n"/>
      <c r="C32" s="12" t="n"/>
      <c r="D32" s="12" t="n"/>
      <c r="E32" s="12" t="n"/>
      <c r="F32" s="12" t="n"/>
      <c r="G32" s="12" t="n"/>
      <c r="H32" s="20" t="n"/>
      <c r="I32" s="20" t="n"/>
      <c r="J32" s="9" t="n"/>
      <c r="K32" s="12" t="n"/>
      <c r="L32" s="9" t="n"/>
      <c r="M32" s="9" t="n"/>
      <c r="N32" s="9" t="n"/>
      <c r="O32" s="9" t="n"/>
      <c r="P32" s="9" t="n"/>
      <c r="Q32" s="9" t="n"/>
      <c r="R32" s="9" t="n"/>
      <c r="S32" s="12" t="n"/>
      <c r="T32" s="12" t="n"/>
      <c r="U32" s="12" t="n"/>
      <c r="V32" s="12" t="n"/>
      <c r="W32" s="12" t="n"/>
      <c r="X32" s="12" t="n"/>
      <c r="Y32" s="9" t="n"/>
      <c r="Z32" s="12" t="n"/>
      <c r="AA32" s="24">
        <f>IF(J32="","",IFERROR(VALUE(SUBSTITUTE(SUBSTITUTE(J32,"RM",""),",",""))*IFERROR(INDEX({12,4,2,1,0},MATCH(K32,{"Monthly","Quarterly","Half-yearly","Yearly","Single"},0)),0),0))</f>
        <v/>
      </c>
    </row>
    <row r="33">
      <c r="A33" s="12" t="n"/>
      <c r="B33" s="12" t="n"/>
      <c r="C33" s="12" t="n"/>
      <c r="D33" s="12" t="n"/>
      <c r="E33" s="12" t="n"/>
      <c r="F33" s="12" t="n"/>
      <c r="G33" s="12" t="n"/>
      <c r="H33" s="20" t="n"/>
      <c r="I33" s="20" t="n"/>
      <c r="J33" s="9" t="n"/>
      <c r="K33" s="12" t="n"/>
      <c r="L33" s="9" t="n"/>
      <c r="M33" s="9" t="n"/>
      <c r="N33" s="9" t="n"/>
      <c r="O33" s="9" t="n"/>
      <c r="P33" s="9" t="n"/>
      <c r="Q33" s="9" t="n"/>
      <c r="R33" s="9" t="n"/>
      <c r="S33" s="12" t="n"/>
      <c r="T33" s="12" t="n"/>
      <c r="U33" s="12" t="n"/>
      <c r="V33" s="12" t="n"/>
      <c r="W33" s="12" t="n"/>
      <c r="X33" s="12" t="n"/>
      <c r="Y33" s="9" t="n"/>
      <c r="Z33" s="12" t="n"/>
      <c r="AA33" s="24">
        <f>IF(J33="","",IFERROR(VALUE(SUBSTITUTE(SUBSTITUTE(J33,"RM",""),",",""))*IFERROR(INDEX({12,4,2,1,0},MATCH(K33,{"Monthly","Quarterly","Half-yearly","Yearly","Single"},0)),0),0))</f>
        <v/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20" t="n"/>
      <c r="I34" s="20" t="n"/>
      <c r="J34" s="9" t="n"/>
      <c r="K34" s="12" t="n"/>
      <c r="L34" s="9" t="n"/>
      <c r="M34" s="9" t="n"/>
      <c r="N34" s="9" t="n"/>
      <c r="O34" s="9" t="n"/>
      <c r="P34" s="9" t="n"/>
      <c r="Q34" s="9" t="n"/>
      <c r="R34" s="9" t="n"/>
      <c r="S34" s="12" t="n"/>
      <c r="T34" s="12" t="n"/>
      <c r="U34" s="12" t="n"/>
      <c r="V34" s="12" t="n"/>
      <c r="W34" s="12" t="n"/>
      <c r="X34" s="12" t="n"/>
      <c r="Y34" s="9" t="n"/>
      <c r="Z34" s="12" t="n"/>
      <c r="AA34" s="24">
        <f>IF(J34="","",IFERROR(VALUE(SUBSTITUTE(SUBSTITUTE(J34,"RM",""),",",""))*IFERROR(INDEX({12,4,2,1,0},MATCH(K34,{"Monthly","Quarterly","Half-yearly","Yearly","Single"},0)),0),0))</f>
        <v/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20" t="n"/>
      <c r="I35" s="20" t="n"/>
      <c r="J35" s="9" t="n"/>
      <c r="K35" s="12" t="n"/>
      <c r="L35" s="9" t="n"/>
      <c r="M35" s="9" t="n"/>
      <c r="N35" s="9" t="n"/>
      <c r="O35" s="9" t="n"/>
      <c r="P35" s="9" t="n"/>
      <c r="Q35" s="9" t="n"/>
      <c r="R35" s="9" t="n"/>
      <c r="S35" s="12" t="n"/>
      <c r="T35" s="12" t="n"/>
      <c r="U35" s="12" t="n"/>
      <c r="V35" s="12" t="n"/>
      <c r="W35" s="12" t="n"/>
      <c r="X35" s="12" t="n"/>
      <c r="Y35" s="9" t="n"/>
      <c r="Z35" s="12" t="n"/>
      <c r="AA35" s="24">
        <f>IF(J35="","",IFERROR(VALUE(SUBSTITUTE(SUBSTITUTE(J35,"RM",""),",",""))*IFERROR(INDEX({12,4,2,1,0},MATCH(K35,{"Monthly","Quarterly","Half-yearly","Yearly","Single"},0)),0),0))</f>
        <v/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20" t="n"/>
      <c r="I36" s="20" t="n"/>
      <c r="J36" s="9" t="n"/>
      <c r="K36" s="12" t="n"/>
      <c r="L36" s="9" t="n"/>
      <c r="M36" s="9" t="n"/>
      <c r="N36" s="9" t="n"/>
      <c r="O36" s="9" t="n"/>
      <c r="P36" s="9" t="n"/>
      <c r="Q36" s="9" t="n"/>
      <c r="R36" s="9" t="n"/>
      <c r="S36" s="12" t="n"/>
      <c r="T36" s="12" t="n"/>
      <c r="U36" s="12" t="n"/>
      <c r="V36" s="12" t="n"/>
      <c r="W36" s="12" t="n"/>
      <c r="X36" s="12" t="n"/>
      <c r="Y36" s="9" t="n"/>
      <c r="Z36" s="12" t="n"/>
      <c r="AA36" s="24">
        <f>IF(J36="","",IFERROR(VALUE(SUBSTITUTE(SUBSTITUTE(J36,"RM",""),",",""))*IFERROR(INDEX({12,4,2,1,0},MATCH(K36,{"Monthly","Quarterly","Half-yearly","Yearly","Single"},0)),0),0))</f>
        <v/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20" t="n"/>
      <c r="I37" s="20" t="n"/>
      <c r="J37" s="9" t="n"/>
      <c r="K37" s="12" t="n"/>
      <c r="L37" s="9" t="n"/>
      <c r="M37" s="9" t="n"/>
      <c r="N37" s="9" t="n"/>
      <c r="O37" s="9" t="n"/>
      <c r="P37" s="9" t="n"/>
      <c r="Q37" s="9" t="n"/>
      <c r="R37" s="9" t="n"/>
      <c r="S37" s="12" t="n"/>
      <c r="T37" s="12" t="n"/>
      <c r="U37" s="12" t="n"/>
      <c r="V37" s="12" t="n"/>
      <c r="W37" s="12" t="n"/>
      <c r="X37" s="12" t="n"/>
      <c r="Y37" s="9" t="n"/>
      <c r="Z37" s="12" t="n"/>
      <c r="AA37" s="24">
        <f>IF(J37="","",IFERROR(VALUE(SUBSTITUTE(SUBSTITUTE(J37,"RM",""),",",""))*IFERROR(INDEX({12,4,2,1,0},MATCH(K37,{"Monthly","Quarterly","Half-yearly","Yearly","Single"},0)),0),0))</f>
        <v/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20" t="n"/>
      <c r="I38" s="20" t="n"/>
      <c r="J38" s="9" t="n"/>
      <c r="K38" s="12" t="n"/>
      <c r="L38" s="9" t="n"/>
      <c r="M38" s="9" t="n"/>
      <c r="N38" s="9" t="n"/>
      <c r="O38" s="9" t="n"/>
      <c r="P38" s="9" t="n"/>
      <c r="Q38" s="9" t="n"/>
      <c r="R38" s="9" t="n"/>
      <c r="S38" s="12" t="n"/>
      <c r="T38" s="12" t="n"/>
      <c r="U38" s="12" t="n"/>
      <c r="V38" s="12" t="n"/>
      <c r="W38" s="12" t="n"/>
      <c r="X38" s="12" t="n"/>
      <c r="Y38" s="9" t="n"/>
      <c r="Z38" s="12" t="n"/>
      <c r="AA38" s="24">
        <f>IF(J38="","",IFERROR(VALUE(SUBSTITUTE(SUBSTITUTE(J38,"RM",""),",",""))*IFERROR(INDEX({12,4,2,1,0},MATCH(K38,{"Monthly","Quarterly","Half-yearly","Yearly","Single"},0)),0),0))</f>
        <v/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20" t="n"/>
      <c r="I39" s="20" t="n"/>
      <c r="J39" s="9" t="n"/>
      <c r="K39" s="12" t="n"/>
      <c r="L39" s="9" t="n"/>
      <c r="M39" s="9" t="n"/>
      <c r="N39" s="9" t="n"/>
      <c r="O39" s="9" t="n"/>
      <c r="P39" s="9" t="n"/>
      <c r="Q39" s="9" t="n"/>
      <c r="R39" s="9" t="n"/>
      <c r="S39" s="12" t="n"/>
      <c r="T39" s="12" t="n"/>
      <c r="U39" s="12" t="n"/>
      <c r="V39" s="12" t="n"/>
      <c r="W39" s="12" t="n"/>
      <c r="X39" s="12" t="n"/>
      <c r="Y39" s="9" t="n"/>
      <c r="Z39" s="12" t="n"/>
      <c r="AA39" s="24">
        <f>IF(J39="","",IFERROR(VALUE(SUBSTITUTE(SUBSTITUTE(J39,"RM",""),",",""))*IFERROR(INDEX({12,4,2,1,0},MATCH(K39,{"Monthly","Quarterly","Half-yearly","Yearly","Single"},0)),0),0))</f>
        <v/>
      </c>
    </row>
    <row r="40">
      <c r="A40" s="12" t="n"/>
      <c r="B40" s="12" t="n"/>
      <c r="C40" s="12" t="n"/>
      <c r="D40" s="12" t="n"/>
      <c r="E40" s="12" t="n"/>
      <c r="F40" s="12" t="n"/>
      <c r="G40" s="12" t="n"/>
      <c r="H40" s="20" t="n"/>
      <c r="I40" s="20" t="n"/>
      <c r="J40" s="9" t="n"/>
      <c r="K40" s="12" t="n"/>
      <c r="L40" s="9" t="n"/>
      <c r="M40" s="9" t="n"/>
      <c r="N40" s="9" t="n"/>
      <c r="O40" s="9" t="n"/>
      <c r="P40" s="9" t="n"/>
      <c r="Q40" s="9" t="n"/>
      <c r="R40" s="9" t="n"/>
      <c r="S40" s="12" t="n"/>
      <c r="T40" s="12" t="n"/>
      <c r="U40" s="12" t="n"/>
      <c r="V40" s="12" t="n"/>
      <c r="W40" s="12" t="n"/>
      <c r="X40" s="12" t="n"/>
      <c r="Y40" s="9" t="n"/>
      <c r="Z40" s="12" t="n"/>
      <c r="AA40" s="24">
        <f>IF(J40="","",IFERROR(VALUE(SUBSTITUTE(SUBSTITUTE(J40,"RM",""),",",""))*IFERROR(INDEX({12,4,2,1,0},MATCH(K40,{"Monthly","Quarterly","Half-yearly","Yearly","Single"},0)),0),0))</f>
        <v/>
      </c>
    </row>
    <row r="41">
      <c r="A41" s="12" t="n"/>
      <c r="B41" s="12" t="n"/>
      <c r="C41" s="12" t="n"/>
      <c r="D41" s="12" t="n"/>
      <c r="E41" s="12" t="n"/>
      <c r="F41" s="12" t="n"/>
      <c r="G41" s="12" t="n"/>
      <c r="H41" s="20" t="n"/>
      <c r="I41" s="20" t="n"/>
      <c r="J41" s="9" t="n"/>
      <c r="K41" s="12" t="n"/>
      <c r="L41" s="9" t="n"/>
      <c r="M41" s="9" t="n"/>
      <c r="N41" s="9" t="n"/>
      <c r="O41" s="9" t="n"/>
      <c r="P41" s="9" t="n"/>
      <c r="Q41" s="9" t="n"/>
      <c r="R41" s="9" t="n"/>
      <c r="S41" s="12" t="n"/>
      <c r="T41" s="12" t="n"/>
      <c r="U41" s="12" t="n"/>
      <c r="V41" s="12" t="n"/>
      <c r="W41" s="12" t="n"/>
      <c r="X41" s="12" t="n"/>
      <c r="Y41" s="9" t="n"/>
      <c r="Z41" s="12" t="n"/>
      <c r="AA41" s="24">
        <f>IF(J41="","",IFERROR(VALUE(SUBSTITUTE(SUBSTITUTE(J41,"RM",""),",",""))*IFERROR(INDEX({12,4,2,1,0},MATCH(K41,{"Monthly","Quarterly","Half-yearly","Yearly","Single"},0)),0),0))</f>
        <v/>
      </c>
    </row>
    <row r="42">
      <c r="A42" s="12" t="n"/>
      <c r="B42" s="12" t="n"/>
      <c r="C42" s="12" t="n"/>
      <c r="D42" s="12" t="n"/>
      <c r="E42" s="12" t="n"/>
      <c r="F42" s="12" t="n"/>
      <c r="G42" s="12" t="n"/>
      <c r="H42" s="20" t="n"/>
      <c r="I42" s="20" t="n"/>
      <c r="J42" s="9" t="n"/>
      <c r="K42" s="12" t="n"/>
      <c r="L42" s="9" t="n"/>
      <c r="M42" s="9" t="n"/>
      <c r="N42" s="9" t="n"/>
      <c r="O42" s="9" t="n"/>
      <c r="P42" s="9" t="n"/>
      <c r="Q42" s="9" t="n"/>
      <c r="R42" s="9" t="n"/>
      <c r="S42" s="12" t="n"/>
      <c r="T42" s="12" t="n"/>
      <c r="U42" s="12" t="n"/>
      <c r="V42" s="12" t="n"/>
      <c r="W42" s="12" t="n"/>
      <c r="X42" s="12" t="n"/>
      <c r="Y42" s="9" t="n"/>
      <c r="Z42" s="12" t="n"/>
      <c r="AA42" s="24">
        <f>IF(J42="","",IFERROR(VALUE(SUBSTITUTE(SUBSTITUTE(J42,"RM",""),",",""))*IFERROR(INDEX({12,4,2,1,0},MATCH(K42,{"Monthly","Quarterly","Half-yearly","Yearly","Single"},0)),0),0))</f>
        <v/>
      </c>
    </row>
    <row r="43">
      <c r="A43" s="12" t="n"/>
      <c r="B43" s="12" t="n"/>
      <c r="C43" s="12" t="n"/>
      <c r="D43" s="12" t="n"/>
      <c r="E43" s="12" t="n"/>
      <c r="F43" s="12" t="n"/>
      <c r="G43" s="12" t="n"/>
      <c r="H43" s="20" t="n"/>
      <c r="I43" s="20" t="n"/>
      <c r="J43" s="9" t="n"/>
      <c r="K43" s="12" t="n"/>
      <c r="L43" s="9" t="n"/>
      <c r="M43" s="9" t="n"/>
      <c r="N43" s="9" t="n"/>
      <c r="O43" s="9" t="n"/>
      <c r="P43" s="9" t="n"/>
      <c r="Q43" s="9" t="n"/>
      <c r="R43" s="9" t="n"/>
      <c r="S43" s="12" t="n"/>
      <c r="T43" s="12" t="n"/>
      <c r="U43" s="12" t="n"/>
      <c r="V43" s="12" t="n"/>
      <c r="W43" s="12" t="n"/>
      <c r="X43" s="12" t="n"/>
      <c r="Y43" s="9" t="n"/>
      <c r="Z43" s="12" t="n"/>
      <c r="AA43" s="24">
        <f>IF(J43="","",IFERROR(VALUE(SUBSTITUTE(SUBSTITUTE(J43,"RM",""),",",""))*IFERROR(INDEX({12,4,2,1,0},MATCH(K43,{"Monthly","Quarterly","Half-yearly","Yearly","Single"},0)),0),0))</f>
        <v/>
      </c>
    </row>
    <row r="44">
      <c r="A44" s="12" t="n"/>
      <c r="B44" s="12" t="n"/>
      <c r="C44" s="12" t="n"/>
      <c r="D44" s="12" t="n"/>
      <c r="E44" s="12" t="n"/>
      <c r="F44" s="12" t="n"/>
      <c r="G44" s="12" t="n"/>
      <c r="H44" s="20" t="n"/>
      <c r="I44" s="20" t="n"/>
      <c r="J44" s="9" t="n"/>
      <c r="K44" s="12" t="n"/>
      <c r="L44" s="9" t="n"/>
      <c r="M44" s="9" t="n"/>
      <c r="N44" s="9" t="n"/>
      <c r="O44" s="9" t="n"/>
      <c r="P44" s="9" t="n"/>
      <c r="Q44" s="9" t="n"/>
      <c r="R44" s="9" t="n"/>
      <c r="S44" s="12" t="n"/>
      <c r="T44" s="12" t="n"/>
      <c r="U44" s="12" t="n"/>
      <c r="V44" s="12" t="n"/>
      <c r="W44" s="12" t="n"/>
      <c r="X44" s="12" t="n"/>
      <c r="Y44" s="9" t="n"/>
      <c r="Z44" s="12" t="n"/>
      <c r="AA44" s="24">
        <f>IF(J44="","",IFERROR(VALUE(SUBSTITUTE(SUBSTITUTE(J44,"RM",""),",",""))*IFERROR(INDEX({12,4,2,1,0},MATCH(K44,{"Monthly","Quarterly","Half-yearly","Yearly","Single"},0)),0),0))</f>
        <v/>
      </c>
    </row>
    <row r="45">
      <c r="A45" s="12" t="n"/>
      <c r="B45" s="12" t="n"/>
      <c r="C45" s="12" t="n"/>
      <c r="D45" s="12" t="n"/>
      <c r="E45" s="12" t="n"/>
      <c r="F45" s="12" t="n"/>
      <c r="G45" s="12" t="n"/>
      <c r="H45" s="20" t="n"/>
      <c r="I45" s="20" t="n"/>
      <c r="J45" s="9" t="n"/>
      <c r="K45" s="12" t="n"/>
      <c r="L45" s="9" t="n"/>
      <c r="M45" s="9" t="n"/>
      <c r="N45" s="9" t="n"/>
      <c r="O45" s="9" t="n"/>
      <c r="P45" s="9" t="n"/>
      <c r="Q45" s="9" t="n"/>
      <c r="R45" s="9" t="n"/>
      <c r="S45" s="12" t="n"/>
      <c r="T45" s="12" t="n"/>
      <c r="U45" s="12" t="n"/>
      <c r="V45" s="12" t="n"/>
      <c r="W45" s="12" t="n"/>
      <c r="X45" s="12" t="n"/>
      <c r="Y45" s="9" t="n"/>
      <c r="Z45" s="12" t="n"/>
      <c r="AA45" s="24">
        <f>IF(J45="","",IFERROR(VALUE(SUBSTITUTE(SUBSTITUTE(J45,"RM",""),",",""))*IFERROR(INDEX({12,4,2,1,0},MATCH(K45,{"Monthly","Quarterly","Half-yearly","Yearly","Single"},0)),0),0))</f>
        <v/>
      </c>
    </row>
    <row r="46">
      <c r="A46" s="12" t="n"/>
      <c r="B46" s="12" t="n"/>
      <c r="C46" s="12" t="n"/>
      <c r="D46" s="12" t="n"/>
      <c r="E46" s="12" t="n"/>
      <c r="F46" s="12" t="n"/>
      <c r="G46" s="12" t="n"/>
      <c r="H46" s="20" t="n"/>
      <c r="I46" s="20" t="n"/>
      <c r="J46" s="9" t="n"/>
      <c r="K46" s="12" t="n"/>
      <c r="L46" s="9" t="n"/>
      <c r="M46" s="9" t="n"/>
      <c r="N46" s="9" t="n"/>
      <c r="O46" s="9" t="n"/>
      <c r="P46" s="9" t="n"/>
      <c r="Q46" s="9" t="n"/>
      <c r="R46" s="9" t="n"/>
      <c r="S46" s="12" t="n"/>
      <c r="T46" s="12" t="n"/>
      <c r="U46" s="12" t="n"/>
      <c r="V46" s="12" t="n"/>
      <c r="W46" s="12" t="n"/>
      <c r="X46" s="12" t="n"/>
      <c r="Y46" s="9" t="n"/>
      <c r="Z46" s="12" t="n"/>
      <c r="AA46" s="24">
        <f>IF(J46="","",IFERROR(VALUE(SUBSTITUTE(SUBSTITUTE(J46,"RM",""),",",""))*IFERROR(INDEX({12,4,2,1,0},MATCH(K46,{"Monthly","Quarterly","Half-yearly","Yearly","Single"},0)),0),0))</f>
        <v/>
      </c>
    </row>
    <row r="47">
      <c r="A47" s="12" t="n"/>
      <c r="B47" s="12" t="n"/>
      <c r="C47" s="12" t="n"/>
      <c r="D47" s="12" t="n"/>
      <c r="E47" s="12" t="n"/>
      <c r="F47" s="12" t="n"/>
      <c r="G47" s="12" t="n"/>
      <c r="H47" s="20" t="n"/>
      <c r="I47" s="20" t="n"/>
      <c r="J47" s="9" t="n"/>
      <c r="K47" s="12" t="n"/>
      <c r="L47" s="9" t="n"/>
      <c r="M47" s="9" t="n"/>
      <c r="N47" s="9" t="n"/>
      <c r="O47" s="9" t="n"/>
      <c r="P47" s="9" t="n"/>
      <c r="Q47" s="9" t="n"/>
      <c r="R47" s="9" t="n"/>
      <c r="S47" s="12" t="n"/>
      <c r="T47" s="12" t="n"/>
      <c r="U47" s="12" t="n"/>
      <c r="V47" s="12" t="n"/>
      <c r="W47" s="12" t="n"/>
      <c r="X47" s="12" t="n"/>
      <c r="Y47" s="9" t="n"/>
      <c r="Z47" s="12" t="n"/>
      <c r="AA47" s="24">
        <f>IF(J47="","",IFERROR(VALUE(SUBSTITUTE(SUBSTITUTE(J47,"RM",""),",",""))*IFERROR(INDEX({12,4,2,1,0},MATCH(K47,{"Monthly","Quarterly","Half-yearly","Yearly","Single"},0)),0),0))</f>
        <v/>
      </c>
    </row>
    <row r="48">
      <c r="A48" s="12" t="n"/>
      <c r="B48" s="12" t="n"/>
      <c r="C48" s="12" t="n"/>
      <c r="D48" s="12" t="n"/>
      <c r="E48" s="12" t="n"/>
      <c r="F48" s="12" t="n"/>
      <c r="G48" s="12" t="n"/>
      <c r="H48" s="20" t="n"/>
      <c r="I48" s="20" t="n"/>
      <c r="J48" s="9" t="n"/>
      <c r="K48" s="12" t="n"/>
      <c r="L48" s="9" t="n"/>
      <c r="M48" s="9" t="n"/>
      <c r="N48" s="9" t="n"/>
      <c r="O48" s="9" t="n"/>
      <c r="P48" s="9" t="n"/>
      <c r="Q48" s="9" t="n"/>
      <c r="R48" s="9" t="n"/>
      <c r="S48" s="12" t="n"/>
      <c r="T48" s="12" t="n"/>
      <c r="U48" s="12" t="n"/>
      <c r="V48" s="12" t="n"/>
      <c r="W48" s="12" t="n"/>
      <c r="X48" s="12" t="n"/>
      <c r="Y48" s="9" t="n"/>
      <c r="Z48" s="12" t="n"/>
      <c r="AA48" s="24">
        <f>IF(J48="","",IFERROR(VALUE(SUBSTITUTE(SUBSTITUTE(J48,"RM",""),",",""))*IFERROR(INDEX({12,4,2,1,0},MATCH(K48,{"Monthly","Quarterly","Half-yearly","Yearly","Single"},0)),0),0))</f>
        <v/>
      </c>
    </row>
    <row r="49">
      <c r="A49" s="12" t="n"/>
      <c r="B49" s="12" t="n"/>
      <c r="C49" s="12" t="n"/>
      <c r="D49" s="12" t="n"/>
      <c r="E49" s="12" t="n"/>
      <c r="F49" s="12" t="n"/>
      <c r="G49" s="12" t="n"/>
      <c r="H49" s="20" t="n"/>
      <c r="I49" s="20" t="n"/>
      <c r="J49" s="9" t="n"/>
      <c r="K49" s="12" t="n"/>
      <c r="L49" s="9" t="n"/>
      <c r="M49" s="9" t="n"/>
      <c r="N49" s="9" t="n"/>
      <c r="O49" s="9" t="n"/>
      <c r="P49" s="9" t="n"/>
      <c r="Q49" s="9" t="n"/>
      <c r="R49" s="9" t="n"/>
      <c r="S49" s="12" t="n"/>
      <c r="T49" s="12" t="n"/>
      <c r="U49" s="12" t="n"/>
      <c r="V49" s="12" t="n"/>
      <c r="W49" s="12" t="n"/>
      <c r="X49" s="12" t="n"/>
      <c r="Y49" s="9" t="n"/>
      <c r="Z49" s="12" t="n"/>
      <c r="AA49" s="24">
        <f>IF(J49="","",IFERROR(VALUE(SUBSTITUTE(SUBSTITUTE(J49,"RM",""),",",""))*IFERROR(INDEX({12,4,2,1,0},MATCH(K49,{"Monthly","Quarterly","Half-yearly","Yearly","Single"},0)),0),0))</f>
        <v/>
      </c>
    </row>
    <row r="50">
      <c r="A50" s="12" t="n"/>
      <c r="B50" s="12" t="n"/>
      <c r="C50" s="12" t="n"/>
      <c r="D50" s="12" t="n"/>
      <c r="E50" s="12" t="n"/>
      <c r="F50" s="12" t="n"/>
      <c r="G50" s="12" t="n"/>
      <c r="H50" s="20" t="n"/>
      <c r="I50" s="20" t="n"/>
      <c r="J50" s="9" t="n"/>
      <c r="K50" s="12" t="n"/>
      <c r="L50" s="9" t="n"/>
      <c r="M50" s="9" t="n"/>
      <c r="N50" s="9" t="n"/>
      <c r="O50" s="9" t="n"/>
      <c r="P50" s="9" t="n"/>
      <c r="Q50" s="9" t="n"/>
      <c r="R50" s="9" t="n"/>
      <c r="S50" s="12" t="n"/>
      <c r="T50" s="12" t="n"/>
      <c r="U50" s="12" t="n"/>
      <c r="V50" s="12" t="n"/>
      <c r="W50" s="12" t="n"/>
      <c r="X50" s="12" t="n"/>
      <c r="Y50" s="9" t="n"/>
      <c r="Z50" s="12" t="n"/>
      <c r="AA50" s="24">
        <f>IF(J50="","",IFERROR(VALUE(SUBSTITUTE(SUBSTITUTE(J50,"RM",""),",",""))*IFERROR(INDEX({12,4,2,1,0},MATCH(K50,{"Monthly","Quarterly","Half-yearly","Yearly","Single"},0)),0),0))</f>
        <v/>
      </c>
    </row>
    <row r="51">
      <c r="A51" s="12" t="n"/>
      <c r="B51" s="12" t="n"/>
      <c r="C51" s="12" t="n"/>
      <c r="D51" s="12" t="n"/>
      <c r="E51" s="12" t="n"/>
      <c r="F51" s="12" t="n"/>
      <c r="G51" s="12" t="n"/>
      <c r="H51" s="20" t="n"/>
      <c r="I51" s="20" t="n"/>
      <c r="J51" s="9" t="n"/>
      <c r="K51" s="12" t="n"/>
      <c r="L51" s="9" t="n"/>
      <c r="M51" s="9" t="n"/>
      <c r="N51" s="9" t="n"/>
      <c r="O51" s="9" t="n"/>
      <c r="P51" s="9" t="n"/>
      <c r="Q51" s="9" t="n"/>
      <c r="R51" s="9" t="n"/>
      <c r="S51" s="12" t="n"/>
      <c r="T51" s="12" t="n"/>
      <c r="U51" s="12" t="n"/>
      <c r="V51" s="12" t="n"/>
      <c r="W51" s="12" t="n"/>
      <c r="X51" s="12" t="n"/>
      <c r="Y51" s="9" t="n"/>
      <c r="Z51" s="12" t="n"/>
      <c r="AA51" s="24">
        <f>IF(J51="","",IFERROR(VALUE(SUBSTITUTE(SUBSTITUTE(J51,"RM",""),",",""))*IFERROR(INDEX({12,4,2,1,0},MATCH(K51,{"Monthly","Quarterly","Half-yearly","Yearly","Single"},0)),0),0))</f>
        <v/>
      </c>
    </row>
    <row r="52">
      <c r="A52" s="12" t="n"/>
      <c r="B52" s="12" t="n"/>
      <c r="C52" s="12" t="n"/>
      <c r="D52" s="12" t="n"/>
      <c r="E52" s="12" t="n"/>
      <c r="F52" s="12" t="n"/>
      <c r="G52" s="12" t="n"/>
      <c r="H52" s="20" t="n"/>
      <c r="I52" s="20" t="n"/>
      <c r="J52" s="9" t="n"/>
      <c r="K52" s="12" t="n"/>
      <c r="L52" s="9" t="n"/>
      <c r="M52" s="9" t="n"/>
      <c r="N52" s="9" t="n"/>
      <c r="O52" s="9" t="n"/>
      <c r="P52" s="9" t="n"/>
      <c r="Q52" s="9" t="n"/>
      <c r="R52" s="9" t="n"/>
      <c r="S52" s="12" t="n"/>
      <c r="T52" s="12" t="n"/>
      <c r="U52" s="12" t="n"/>
      <c r="V52" s="12" t="n"/>
      <c r="W52" s="12" t="n"/>
      <c r="X52" s="12" t="n"/>
      <c r="Y52" s="9" t="n"/>
      <c r="Z52" s="12" t="n"/>
      <c r="AA52" s="24">
        <f>IF(J52="","",IFERROR(VALUE(SUBSTITUTE(SUBSTITUTE(J52,"RM",""),",",""))*IFERROR(INDEX({12,4,2,1,0},MATCH(K52,{"Monthly","Quarterly","Half-yearly","Yearly","Single"},0)),0),0))</f>
        <v/>
      </c>
    </row>
    <row r="53">
      <c r="A53" s="12" t="n"/>
      <c r="B53" s="12" t="n"/>
      <c r="C53" s="12" t="n"/>
      <c r="D53" s="12" t="n"/>
      <c r="E53" s="12" t="n"/>
      <c r="F53" s="12" t="n"/>
      <c r="G53" s="12" t="n"/>
      <c r="H53" s="20" t="n"/>
      <c r="I53" s="20" t="n"/>
      <c r="J53" s="9" t="n"/>
      <c r="K53" s="12" t="n"/>
      <c r="L53" s="9" t="n"/>
      <c r="M53" s="9" t="n"/>
      <c r="N53" s="9" t="n"/>
      <c r="O53" s="9" t="n"/>
      <c r="P53" s="9" t="n"/>
      <c r="Q53" s="9" t="n"/>
      <c r="R53" s="9" t="n"/>
      <c r="S53" s="12" t="n"/>
      <c r="T53" s="12" t="n"/>
      <c r="U53" s="12" t="n"/>
      <c r="V53" s="12" t="n"/>
      <c r="W53" s="12" t="n"/>
      <c r="X53" s="12" t="n"/>
      <c r="Y53" s="9" t="n"/>
      <c r="Z53" s="12" t="n"/>
      <c r="AA53" s="24">
        <f>IF(J53="","",IFERROR(VALUE(SUBSTITUTE(SUBSTITUTE(J53,"RM",""),",",""))*IFERROR(INDEX({12,4,2,1,0},MATCH(K53,{"Monthly","Quarterly","Half-yearly","Yearly","Single"},0)),0),0))</f>
        <v/>
      </c>
    </row>
    <row r="54">
      <c r="A54" s="12" t="n"/>
      <c r="B54" s="12" t="n"/>
      <c r="C54" s="12" t="n"/>
      <c r="D54" s="12" t="n"/>
      <c r="E54" s="12" t="n"/>
      <c r="F54" s="12" t="n"/>
      <c r="G54" s="12" t="n"/>
      <c r="H54" s="20" t="n"/>
      <c r="I54" s="20" t="n"/>
      <c r="J54" s="9" t="n"/>
      <c r="K54" s="12" t="n"/>
      <c r="L54" s="9" t="n"/>
      <c r="M54" s="9" t="n"/>
      <c r="N54" s="9" t="n"/>
      <c r="O54" s="9" t="n"/>
      <c r="P54" s="9" t="n"/>
      <c r="Q54" s="9" t="n"/>
      <c r="R54" s="9" t="n"/>
      <c r="S54" s="12" t="n"/>
      <c r="T54" s="12" t="n"/>
      <c r="U54" s="12" t="n"/>
      <c r="V54" s="12" t="n"/>
      <c r="W54" s="12" t="n"/>
      <c r="X54" s="12" t="n"/>
      <c r="Y54" s="9" t="n"/>
      <c r="Z54" s="12" t="n"/>
      <c r="AA54" s="24">
        <f>IF(J54="","",IFERROR(VALUE(SUBSTITUTE(SUBSTITUTE(J54,"RM",""),",",""))*IFERROR(INDEX({12,4,2,1,0},MATCH(K54,{"Monthly","Quarterly","Half-yearly","Yearly","Single"},0)),0),0))</f>
        <v/>
      </c>
    </row>
    <row r="55">
      <c r="A55" s="12" t="n"/>
      <c r="B55" s="12" t="n"/>
      <c r="C55" s="12" t="n"/>
      <c r="D55" s="12" t="n"/>
      <c r="E55" s="12" t="n"/>
      <c r="F55" s="12" t="n"/>
      <c r="G55" s="12" t="n"/>
      <c r="H55" s="20" t="n"/>
      <c r="I55" s="20" t="n"/>
      <c r="J55" s="9" t="n"/>
      <c r="K55" s="12" t="n"/>
      <c r="L55" s="9" t="n"/>
      <c r="M55" s="9" t="n"/>
      <c r="N55" s="9" t="n"/>
      <c r="O55" s="9" t="n"/>
      <c r="P55" s="9" t="n"/>
      <c r="Q55" s="9" t="n"/>
      <c r="R55" s="9" t="n"/>
      <c r="S55" s="12" t="n"/>
      <c r="T55" s="12" t="n"/>
      <c r="U55" s="12" t="n"/>
      <c r="V55" s="12" t="n"/>
      <c r="W55" s="12" t="n"/>
      <c r="X55" s="12" t="n"/>
      <c r="Y55" s="9" t="n"/>
      <c r="Z55" s="12" t="n"/>
      <c r="AA55" s="24">
        <f>IF(J55="","",IFERROR(VALUE(SUBSTITUTE(SUBSTITUTE(J55,"RM",""),",",""))*IFERROR(INDEX({12,4,2,1,0},MATCH(K55,{"Monthly","Quarterly","Half-yearly","Yearly","Single"},0)),0),0))</f>
        <v/>
      </c>
    </row>
    <row r="56">
      <c r="A56" s="12" t="n"/>
      <c r="B56" s="12" t="n"/>
      <c r="C56" s="12" t="n"/>
      <c r="D56" s="12" t="n"/>
      <c r="E56" s="12" t="n"/>
      <c r="F56" s="12" t="n"/>
      <c r="G56" s="12" t="n"/>
      <c r="H56" s="20" t="n"/>
      <c r="I56" s="20" t="n"/>
      <c r="J56" s="9" t="n"/>
      <c r="K56" s="12" t="n"/>
      <c r="L56" s="9" t="n"/>
      <c r="M56" s="9" t="n"/>
      <c r="N56" s="9" t="n"/>
      <c r="O56" s="9" t="n"/>
      <c r="P56" s="9" t="n"/>
      <c r="Q56" s="9" t="n"/>
      <c r="R56" s="9" t="n"/>
      <c r="S56" s="12" t="n"/>
      <c r="T56" s="12" t="n"/>
      <c r="U56" s="12" t="n"/>
      <c r="V56" s="12" t="n"/>
      <c r="W56" s="12" t="n"/>
      <c r="X56" s="12" t="n"/>
      <c r="Y56" s="9" t="n"/>
      <c r="Z56" s="12" t="n"/>
      <c r="AA56" s="24">
        <f>IF(J56="","",IFERROR(VALUE(SUBSTITUTE(SUBSTITUTE(J56,"RM",""),",",""))*IFERROR(INDEX({12,4,2,1,0},MATCH(K56,{"Monthly","Quarterly","Half-yearly","Yearly","Single"},0)),0),0))</f>
        <v/>
      </c>
    </row>
    <row r="57">
      <c r="A57" s="12" t="n"/>
      <c r="B57" s="12" t="n"/>
      <c r="C57" s="12" t="n"/>
      <c r="D57" s="12" t="n"/>
      <c r="E57" s="12" t="n"/>
      <c r="F57" s="12" t="n"/>
      <c r="G57" s="12" t="n"/>
      <c r="H57" s="20" t="n"/>
      <c r="I57" s="20" t="n"/>
      <c r="J57" s="9" t="n"/>
      <c r="K57" s="12" t="n"/>
      <c r="L57" s="9" t="n"/>
      <c r="M57" s="9" t="n"/>
      <c r="N57" s="9" t="n"/>
      <c r="O57" s="9" t="n"/>
      <c r="P57" s="9" t="n"/>
      <c r="Q57" s="9" t="n"/>
      <c r="R57" s="9" t="n"/>
      <c r="S57" s="12" t="n"/>
      <c r="T57" s="12" t="n"/>
      <c r="U57" s="12" t="n"/>
      <c r="V57" s="12" t="n"/>
      <c r="W57" s="12" t="n"/>
      <c r="X57" s="12" t="n"/>
      <c r="Y57" s="9" t="n"/>
      <c r="Z57" s="12" t="n"/>
      <c r="AA57" s="24">
        <f>IF(J57="","",IFERROR(VALUE(SUBSTITUTE(SUBSTITUTE(J57,"RM",""),",",""))*IFERROR(INDEX({12,4,2,1,0},MATCH(K57,{"Monthly","Quarterly","Half-yearly","Yearly","Single"},0)),0),0))</f>
        <v/>
      </c>
    </row>
    <row r="58">
      <c r="A58" s="12" t="n"/>
      <c r="B58" s="12" t="n"/>
      <c r="C58" s="12" t="n"/>
      <c r="D58" s="12" t="n"/>
      <c r="E58" s="12" t="n"/>
      <c r="F58" s="12" t="n"/>
      <c r="G58" s="12" t="n"/>
      <c r="H58" s="20" t="n"/>
      <c r="I58" s="20" t="n"/>
      <c r="J58" s="9" t="n"/>
      <c r="K58" s="12" t="n"/>
      <c r="L58" s="9" t="n"/>
      <c r="M58" s="9" t="n"/>
      <c r="N58" s="9" t="n"/>
      <c r="O58" s="9" t="n"/>
      <c r="P58" s="9" t="n"/>
      <c r="Q58" s="9" t="n"/>
      <c r="R58" s="9" t="n"/>
      <c r="S58" s="12" t="n"/>
      <c r="T58" s="12" t="n"/>
      <c r="U58" s="12" t="n"/>
      <c r="V58" s="12" t="n"/>
      <c r="W58" s="12" t="n"/>
      <c r="X58" s="12" t="n"/>
      <c r="Y58" s="9" t="n"/>
      <c r="Z58" s="12" t="n"/>
      <c r="AA58" s="24">
        <f>IF(J58="","",IFERROR(VALUE(SUBSTITUTE(SUBSTITUTE(J58,"RM",""),",",""))*IFERROR(INDEX({12,4,2,1,0},MATCH(K58,{"Monthly","Quarterly","Half-yearly","Yearly","Single"},0)),0),0))</f>
        <v/>
      </c>
    </row>
    <row r="59">
      <c r="A59" s="12" t="n"/>
      <c r="B59" s="12" t="n"/>
      <c r="C59" s="12" t="n"/>
      <c r="D59" s="12" t="n"/>
      <c r="E59" s="12" t="n"/>
      <c r="F59" s="12" t="n"/>
      <c r="G59" s="12" t="n"/>
      <c r="H59" s="20" t="n"/>
      <c r="I59" s="20" t="n"/>
      <c r="J59" s="9" t="n"/>
      <c r="K59" s="12" t="n"/>
      <c r="L59" s="9" t="n"/>
      <c r="M59" s="9" t="n"/>
      <c r="N59" s="9" t="n"/>
      <c r="O59" s="9" t="n"/>
      <c r="P59" s="9" t="n"/>
      <c r="Q59" s="9" t="n"/>
      <c r="R59" s="9" t="n"/>
      <c r="S59" s="12" t="n"/>
      <c r="T59" s="12" t="n"/>
      <c r="U59" s="12" t="n"/>
      <c r="V59" s="12" t="n"/>
      <c r="W59" s="12" t="n"/>
      <c r="X59" s="12" t="n"/>
      <c r="Y59" s="9" t="n"/>
      <c r="Z59" s="12" t="n"/>
      <c r="AA59" s="24">
        <f>IF(J59="","",IFERROR(VALUE(SUBSTITUTE(SUBSTITUTE(J59,"RM",""),",",""))*IFERROR(INDEX({12,4,2,1,0},MATCH(K59,{"Monthly","Quarterly","Half-yearly","Yearly","Single"},0)),0),0))</f>
        <v/>
      </c>
    </row>
    <row r="60">
      <c r="A60" s="12" t="n"/>
      <c r="B60" s="12" t="n"/>
      <c r="C60" s="12" t="n"/>
      <c r="D60" s="12" t="n"/>
      <c r="E60" s="12" t="n"/>
      <c r="F60" s="12" t="n"/>
      <c r="G60" s="12" t="n"/>
      <c r="H60" s="20" t="n"/>
      <c r="I60" s="20" t="n"/>
      <c r="J60" s="9" t="n"/>
      <c r="K60" s="12" t="n"/>
      <c r="L60" s="9" t="n"/>
      <c r="M60" s="9" t="n"/>
      <c r="N60" s="9" t="n"/>
      <c r="O60" s="9" t="n"/>
      <c r="P60" s="9" t="n"/>
      <c r="Q60" s="9" t="n"/>
      <c r="R60" s="9" t="n"/>
      <c r="S60" s="12" t="n"/>
      <c r="T60" s="12" t="n"/>
      <c r="U60" s="12" t="n"/>
      <c r="V60" s="12" t="n"/>
      <c r="W60" s="12" t="n"/>
      <c r="X60" s="12" t="n"/>
      <c r="Y60" s="9" t="n"/>
      <c r="Z60" s="12" t="n"/>
      <c r="AA60" s="24">
        <f>IF(J60="","",IFERROR(VALUE(SUBSTITUTE(SUBSTITUTE(J60,"RM",""),",",""))*IFERROR(INDEX({12,4,2,1,0},MATCH(K60,{"Monthly","Quarterly","Half-yearly","Yearly","Single"},0)),0),0))</f>
        <v/>
      </c>
    </row>
    <row r="61">
      <c r="A61" s="12" t="n"/>
      <c r="B61" s="12" t="n"/>
      <c r="C61" s="12" t="n"/>
      <c r="D61" s="12" t="n"/>
      <c r="E61" s="12" t="n"/>
      <c r="F61" s="12" t="n"/>
      <c r="G61" s="12" t="n"/>
      <c r="H61" s="20" t="n"/>
      <c r="I61" s="20" t="n"/>
      <c r="J61" s="9" t="n"/>
      <c r="K61" s="12" t="n"/>
      <c r="L61" s="9" t="n"/>
      <c r="M61" s="9" t="n"/>
      <c r="N61" s="9" t="n"/>
      <c r="O61" s="9" t="n"/>
      <c r="P61" s="9" t="n"/>
      <c r="Q61" s="9" t="n"/>
      <c r="R61" s="9" t="n"/>
      <c r="S61" s="12" t="n"/>
      <c r="T61" s="12" t="n"/>
      <c r="U61" s="12" t="n"/>
      <c r="V61" s="12" t="n"/>
      <c r="W61" s="12" t="n"/>
      <c r="X61" s="12" t="n"/>
      <c r="Y61" s="9" t="n"/>
      <c r="Z61" s="12" t="n"/>
      <c r="AA61" s="24">
        <f>IF(J61="","",IFERROR(VALUE(SUBSTITUTE(SUBSTITUTE(J61,"RM",""),",",""))*IFERROR(INDEX({12,4,2,1,0},MATCH(K61,{"Monthly","Quarterly","Half-yearly","Yearly","Single"},0)),0),0))</f>
        <v/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20" t="n"/>
      <c r="I62" s="20" t="n"/>
      <c r="J62" s="9" t="n"/>
      <c r="K62" s="12" t="n"/>
      <c r="L62" s="9" t="n"/>
      <c r="M62" s="9" t="n"/>
      <c r="N62" s="9" t="n"/>
      <c r="O62" s="9" t="n"/>
      <c r="P62" s="9" t="n"/>
      <c r="Q62" s="9" t="n"/>
      <c r="R62" s="9" t="n"/>
      <c r="S62" s="12" t="n"/>
      <c r="T62" s="12" t="n"/>
      <c r="U62" s="12" t="n"/>
      <c r="V62" s="12" t="n"/>
      <c r="W62" s="12" t="n"/>
      <c r="X62" s="12" t="n"/>
      <c r="Y62" s="9" t="n"/>
      <c r="Z62" s="12" t="n"/>
      <c r="AA62" s="24">
        <f>IF(J62="","",IFERROR(VALUE(SUBSTITUTE(SUBSTITUTE(J62,"RM",""),",",""))*IFERROR(INDEX({12,4,2,1,0},MATCH(K62,{"Monthly","Quarterly","Half-yearly","Yearly","Single"},0)),0),0))</f>
        <v/>
      </c>
    </row>
    <row r="63">
      <c r="A63" s="12" t="n"/>
      <c r="B63" s="12" t="n"/>
      <c r="C63" s="12" t="n"/>
      <c r="D63" s="12" t="n"/>
      <c r="E63" s="12" t="n"/>
      <c r="F63" s="12" t="n"/>
      <c r="G63" s="12" t="n"/>
      <c r="H63" s="20" t="n"/>
      <c r="I63" s="20" t="n"/>
      <c r="J63" s="9" t="n"/>
      <c r="K63" s="12" t="n"/>
      <c r="L63" s="9" t="n"/>
      <c r="M63" s="9" t="n"/>
      <c r="N63" s="9" t="n"/>
      <c r="O63" s="9" t="n"/>
      <c r="P63" s="9" t="n"/>
      <c r="Q63" s="9" t="n"/>
      <c r="R63" s="9" t="n"/>
      <c r="S63" s="12" t="n"/>
      <c r="T63" s="12" t="n"/>
      <c r="U63" s="12" t="n"/>
      <c r="V63" s="12" t="n"/>
      <c r="W63" s="12" t="n"/>
      <c r="X63" s="12" t="n"/>
      <c r="Y63" s="9" t="n"/>
      <c r="Z63" s="12" t="n"/>
      <c r="AA63" s="24">
        <f>IF(J63="","",IFERROR(VALUE(SUBSTITUTE(SUBSTITUTE(J63,"RM",""),",",""))*IFERROR(INDEX({12,4,2,1,0},MATCH(K63,{"Monthly","Quarterly","Half-yearly","Yearly","Single"},0)),0),0))</f>
        <v/>
      </c>
    </row>
    <row r="64">
      <c r="A64" s="12" t="n"/>
      <c r="B64" s="12" t="n"/>
      <c r="C64" s="12" t="n"/>
      <c r="D64" s="12" t="n"/>
      <c r="E64" s="12" t="n"/>
      <c r="F64" s="12" t="n"/>
      <c r="G64" s="12" t="n"/>
      <c r="H64" s="20" t="n"/>
      <c r="I64" s="20" t="n"/>
      <c r="J64" s="9" t="n"/>
      <c r="K64" s="12" t="n"/>
      <c r="L64" s="9" t="n"/>
      <c r="M64" s="9" t="n"/>
      <c r="N64" s="9" t="n"/>
      <c r="O64" s="9" t="n"/>
      <c r="P64" s="9" t="n"/>
      <c r="Q64" s="9" t="n"/>
      <c r="R64" s="9" t="n"/>
      <c r="S64" s="12" t="n"/>
      <c r="T64" s="12" t="n"/>
      <c r="U64" s="12" t="n"/>
      <c r="V64" s="12" t="n"/>
      <c r="W64" s="12" t="n"/>
      <c r="X64" s="12" t="n"/>
      <c r="Y64" s="9" t="n"/>
      <c r="Z64" s="12" t="n"/>
      <c r="AA64" s="24">
        <f>IF(J64="","",IFERROR(VALUE(SUBSTITUTE(SUBSTITUTE(J64,"RM",""),",",""))*IFERROR(INDEX({12,4,2,1,0},MATCH(K64,{"Monthly","Quarterly","Half-yearly","Yearly","Single"},0)),0),0))</f>
        <v/>
      </c>
    </row>
    <row r="65">
      <c r="A65" s="12" t="n"/>
      <c r="B65" s="12" t="n"/>
      <c r="C65" s="12" t="n"/>
      <c r="D65" s="12" t="n"/>
      <c r="E65" s="12" t="n"/>
      <c r="F65" s="12" t="n"/>
      <c r="G65" s="12" t="n"/>
      <c r="H65" s="20" t="n"/>
      <c r="I65" s="20" t="n"/>
      <c r="J65" s="9" t="n"/>
      <c r="K65" s="12" t="n"/>
      <c r="L65" s="9" t="n"/>
      <c r="M65" s="9" t="n"/>
      <c r="N65" s="9" t="n"/>
      <c r="O65" s="9" t="n"/>
      <c r="P65" s="9" t="n"/>
      <c r="Q65" s="9" t="n"/>
      <c r="R65" s="9" t="n"/>
      <c r="S65" s="12" t="n"/>
      <c r="T65" s="12" t="n"/>
      <c r="U65" s="12" t="n"/>
      <c r="V65" s="12" t="n"/>
      <c r="W65" s="12" t="n"/>
      <c r="X65" s="12" t="n"/>
      <c r="Y65" s="9" t="n"/>
      <c r="Z65" s="12" t="n"/>
      <c r="AA65" s="24">
        <f>IF(J65="","",IFERROR(VALUE(SUBSTITUTE(SUBSTITUTE(J65,"RM",""),",",""))*IFERROR(INDEX({12,4,2,1,0},MATCH(K65,{"Monthly","Quarterly","Half-yearly","Yearly","Single"},0)),0),0))</f>
        <v/>
      </c>
    </row>
    <row r="66">
      <c r="A66" s="12" t="n"/>
      <c r="B66" s="12" t="n"/>
      <c r="C66" s="12" t="n"/>
      <c r="D66" s="12" t="n"/>
      <c r="E66" s="12" t="n"/>
      <c r="F66" s="12" t="n"/>
      <c r="G66" s="12" t="n"/>
      <c r="H66" s="20" t="n"/>
      <c r="I66" s="20" t="n"/>
      <c r="J66" s="9" t="n"/>
      <c r="K66" s="12" t="n"/>
      <c r="L66" s="9" t="n"/>
      <c r="M66" s="9" t="n"/>
      <c r="N66" s="9" t="n"/>
      <c r="O66" s="9" t="n"/>
      <c r="P66" s="9" t="n"/>
      <c r="Q66" s="9" t="n"/>
      <c r="R66" s="9" t="n"/>
      <c r="S66" s="12" t="n"/>
      <c r="T66" s="12" t="n"/>
      <c r="U66" s="12" t="n"/>
      <c r="V66" s="12" t="n"/>
      <c r="W66" s="12" t="n"/>
      <c r="X66" s="12" t="n"/>
      <c r="Y66" s="9" t="n"/>
      <c r="Z66" s="12" t="n"/>
      <c r="AA66" s="24">
        <f>IF(J66="","",IFERROR(VALUE(SUBSTITUTE(SUBSTITUTE(J66,"RM",""),",",""))*IFERROR(INDEX({12,4,2,1,0},MATCH(K66,{"Monthly","Quarterly","Half-yearly","Yearly","Single"},0)),0),0))</f>
        <v/>
      </c>
    </row>
    <row r="67">
      <c r="A67" s="12" t="n"/>
      <c r="B67" s="12" t="n"/>
      <c r="C67" s="12" t="n"/>
      <c r="D67" s="12" t="n"/>
      <c r="E67" s="12" t="n"/>
      <c r="F67" s="12" t="n"/>
      <c r="G67" s="12" t="n"/>
      <c r="H67" s="20" t="n"/>
      <c r="I67" s="20" t="n"/>
      <c r="J67" s="9" t="n"/>
      <c r="K67" s="12" t="n"/>
      <c r="L67" s="9" t="n"/>
      <c r="M67" s="9" t="n"/>
      <c r="N67" s="9" t="n"/>
      <c r="O67" s="9" t="n"/>
      <c r="P67" s="9" t="n"/>
      <c r="Q67" s="9" t="n"/>
      <c r="R67" s="9" t="n"/>
      <c r="S67" s="12" t="n"/>
      <c r="T67" s="12" t="n"/>
      <c r="U67" s="12" t="n"/>
      <c r="V67" s="12" t="n"/>
      <c r="W67" s="12" t="n"/>
      <c r="X67" s="12" t="n"/>
      <c r="Y67" s="9" t="n"/>
      <c r="Z67" s="12" t="n"/>
      <c r="AA67" s="24">
        <f>IF(J67="","",IFERROR(VALUE(SUBSTITUTE(SUBSTITUTE(J67,"RM",""),",",""))*IFERROR(INDEX({12,4,2,1,0},MATCH(K67,{"Monthly","Quarterly","Half-yearly","Yearly","Single"},0)),0),0))</f>
        <v/>
      </c>
    </row>
    <row r="68">
      <c r="A68" s="12" t="n"/>
      <c r="B68" s="12" t="n"/>
      <c r="C68" s="12" t="n"/>
      <c r="D68" s="12" t="n"/>
      <c r="E68" s="12" t="n"/>
      <c r="F68" s="12" t="n"/>
      <c r="G68" s="12" t="n"/>
      <c r="H68" s="20" t="n"/>
      <c r="I68" s="20" t="n"/>
      <c r="J68" s="9" t="n"/>
      <c r="K68" s="12" t="n"/>
      <c r="L68" s="9" t="n"/>
      <c r="M68" s="9" t="n"/>
      <c r="N68" s="9" t="n"/>
      <c r="O68" s="9" t="n"/>
      <c r="P68" s="9" t="n"/>
      <c r="Q68" s="9" t="n"/>
      <c r="R68" s="9" t="n"/>
      <c r="S68" s="12" t="n"/>
      <c r="T68" s="12" t="n"/>
      <c r="U68" s="12" t="n"/>
      <c r="V68" s="12" t="n"/>
      <c r="W68" s="12" t="n"/>
      <c r="X68" s="12" t="n"/>
      <c r="Y68" s="9" t="n"/>
      <c r="Z68" s="12" t="n"/>
      <c r="AA68" s="24">
        <f>IF(J68="","",IFERROR(VALUE(SUBSTITUTE(SUBSTITUTE(J68,"RM",""),",",""))*IFERROR(INDEX({12,4,2,1,0},MATCH(K68,{"Monthly","Quarterly","Half-yearly","Yearly","Single"},0)),0),0))</f>
        <v/>
      </c>
    </row>
    <row r="69">
      <c r="A69" s="12" t="n"/>
      <c r="B69" s="12" t="n"/>
      <c r="C69" s="12" t="n"/>
      <c r="D69" s="12" t="n"/>
      <c r="E69" s="12" t="n"/>
      <c r="F69" s="12" t="n"/>
      <c r="G69" s="12" t="n"/>
      <c r="H69" s="20" t="n"/>
      <c r="I69" s="20" t="n"/>
      <c r="J69" s="9" t="n"/>
      <c r="K69" s="12" t="n"/>
      <c r="L69" s="9" t="n"/>
      <c r="M69" s="9" t="n"/>
      <c r="N69" s="9" t="n"/>
      <c r="O69" s="9" t="n"/>
      <c r="P69" s="9" t="n"/>
      <c r="Q69" s="9" t="n"/>
      <c r="R69" s="9" t="n"/>
      <c r="S69" s="12" t="n"/>
      <c r="T69" s="12" t="n"/>
      <c r="U69" s="12" t="n"/>
      <c r="V69" s="12" t="n"/>
      <c r="W69" s="12" t="n"/>
      <c r="X69" s="12" t="n"/>
      <c r="Y69" s="9" t="n"/>
      <c r="Z69" s="12" t="n"/>
      <c r="AA69" s="24">
        <f>IF(J69="","",IFERROR(VALUE(SUBSTITUTE(SUBSTITUTE(J69,"RM",""),",",""))*IFERROR(INDEX({12,4,2,1,0},MATCH(K69,{"Monthly","Quarterly","Half-yearly","Yearly","Single"},0)),0),0))</f>
        <v/>
      </c>
    </row>
    <row r="70">
      <c r="A70" s="12" t="n"/>
      <c r="B70" s="12" t="n"/>
      <c r="C70" s="12" t="n"/>
      <c r="D70" s="12" t="n"/>
      <c r="E70" s="12" t="n"/>
      <c r="F70" s="12" t="n"/>
      <c r="G70" s="12" t="n"/>
      <c r="H70" s="20" t="n"/>
      <c r="I70" s="20" t="n"/>
      <c r="J70" s="9" t="n"/>
      <c r="K70" s="12" t="n"/>
      <c r="L70" s="9" t="n"/>
      <c r="M70" s="9" t="n"/>
      <c r="N70" s="9" t="n"/>
      <c r="O70" s="9" t="n"/>
      <c r="P70" s="9" t="n"/>
      <c r="Q70" s="9" t="n"/>
      <c r="R70" s="9" t="n"/>
      <c r="S70" s="12" t="n"/>
      <c r="T70" s="12" t="n"/>
      <c r="U70" s="12" t="n"/>
      <c r="V70" s="12" t="n"/>
      <c r="W70" s="12" t="n"/>
      <c r="X70" s="12" t="n"/>
      <c r="Y70" s="9" t="n"/>
      <c r="Z70" s="12" t="n"/>
      <c r="AA70" s="24">
        <f>IF(J70="","",IFERROR(VALUE(SUBSTITUTE(SUBSTITUTE(J70,"RM",""),",",""))*IFERROR(INDEX({12,4,2,1,0},MATCH(K70,{"Monthly","Quarterly","Half-yearly","Yearly","Single"},0)),0),0))</f>
        <v/>
      </c>
    </row>
    <row r="71">
      <c r="A71" s="12" t="n"/>
      <c r="B71" s="12" t="n"/>
      <c r="C71" s="12" t="n"/>
      <c r="D71" s="12" t="n"/>
      <c r="E71" s="12" t="n"/>
      <c r="F71" s="12" t="n"/>
      <c r="G71" s="12" t="n"/>
      <c r="H71" s="20" t="n"/>
      <c r="I71" s="20" t="n"/>
      <c r="J71" s="9" t="n"/>
      <c r="K71" s="12" t="n"/>
      <c r="L71" s="9" t="n"/>
      <c r="M71" s="9" t="n"/>
      <c r="N71" s="9" t="n"/>
      <c r="O71" s="9" t="n"/>
      <c r="P71" s="9" t="n"/>
      <c r="Q71" s="9" t="n"/>
      <c r="R71" s="9" t="n"/>
      <c r="S71" s="12" t="n"/>
      <c r="T71" s="12" t="n"/>
      <c r="U71" s="12" t="n"/>
      <c r="V71" s="12" t="n"/>
      <c r="W71" s="12" t="n"/>
      <c r="X71" s="12" t="n"/>
      <c r="Y71" s="9" t="n"/>
      <c r="Z71" s="12" t="n"/>
      <c r="AA71" s="24">
        <f>IF(J71="","",IFERROR(VALUE(SUBSTITUTE(SUBSTITUTE(J71,"RM",""),",",""))*IFERROR(INDEX({12,4,2,1,0},MATCH(K71,{"Monthly","Quarterly","Half-yearly","Yearly","Single"},0)),0),0))</f>
        <v/>
      </c>
    </row>
    <row r="72">
      <c r="A72" s="12" t="n"/>
      <c r="B72" s="12" t="n"/>
      <c r="C72" s="12" t="n"/>
      <c r="D72" s="12" t="n"/>
      <c r="E72" s="12" t="n"/>
      <c r="F72" s="12" t="n"/>
      <c r="G72" s="12" t="n"/>
      <c r="H72" s="20" t="n"/>
      <c r="I72" s="20" t="n"/>
      <c r="J72" s="9" t="n"/>
      <c r="K72" s="12" t="n"/>
      <c r="L72" s="9" t="n"/>
      <c r="M72" s="9" t="n"/>
      <c r="N72" s="9" t="n"/>
      <c r="O72" s="9" t="n"/>
      <c r="P72" s="9" t="n"/>
      <c r="Q72" s="9" t="n"/>
      <c r="R72" s="9" t="n"/>
      <c r="S72" s="12" t="n"/>
      <c r="T72" s="12" t="n"/>
      <c r="U72" s="12" t="n"/>
      <c r="V72" s="12" t="n"/>
      <c r="W72" s="12" t="n"/>
      <c r="X72" s="12" t="n"/>
      <c r="Y72" s="9" t="n"/>
      <c r="Z72" s="12" t="n"/>
      <c r="AA72" s="24">
        <f>IF(J72="","",IFERROR(VALUE(SUBSTITUTE(SUBSTITUTE(J72,"RM",""),",",""))*IFERROR(INDEX({12,4,2,1,0},MATCH(K72,{"Monthly","Quarterly","Half-yearly","Yearly","Single"},0)),0),0))</f>
        <v/>
      </c>
    </row>
    <row r="73">
      <c r="A73" s="12" t="n"/>
      <c r="B73" s="12" t="n"/>
      <c r="C73" s="12" t="n"/>
      <c r="D73" s="12" t="n"/>
      <c r="E73" s="12" t="n"/>
      <c r="F73" s="12" t="n"/>
      <c r="G73" s="12" t="n"/>
      <c r="H73" s="20" t="n"/>
      <c r="I73" s="20" t="n"/>
      <c r="J73" s="9" t="n"/>
      <c r="K73" s="12" t="n"/>
      <c r="L73" s="9" t="n"/>
      <c r="M73" s="9" t="n"/>
      <c r="N73" s="9" t="n"/>
      <c r="O73" s="9" t="n"/>
      <c r="P73" s="9" t="n"/>
      <c r="Q73" s="9" t="n"/>
      <c r="R73" s="9" t="n"/>
      <c r="S73" s="12" t="n"/>
      <c r="T73" s="12" t="n"/>
      <c r="U73" s="12" t="n"/>
      <c r="V73" s="12" t="n"/>
      <c r="W73" s="12" t="n"/>
      <c r="X73" s="12" t="n"/>
      <c r="Y73" s="9" t="n"/>
      <c r="Z73" s="12" t="n"/>
      <c r="AA73" s="24">
        <f>IF(J73="","",IFERROR(VALUE(SUBSTITUTE(SUBSTITUTE(J73,"RM",""),",",""))*IFERROR(INDEX({12,4,2,1,0},MATCH(K73,{"Monthly","Quarterly","Half-yearly","Yearly","Single"},0)),0),0))</f>
        <v/>
      </c>
    </row>
    <row r="74">
      <c r="A74" s="12" t="n"/>
      <c r="B74" s="12" t="n"/>
      <c r="C74" s="12" t="n"/>
      <c r="D74" s="12" t="n"/>
      <c r="E74" s="12" t="n"/>
      <c r="F74" s="12" t="n"/>
      <c r="G74" s="12" t="n"/>
      <c r="H74" s="20" t="n"/>
      <c r="I74" s="20" t="n"/>
      <c r="J74" s="9" t="n"/>
      <c r="K74" s="12" t="n"/>
      <c r="L74" s="9" t="n"/>
      <c r="M74" s="9" t="n"/>
      <c r="N74" s="9" t="n"/>
      <c r="O74" s="9" t="n"/>
      <c r="P74" s="9" t="n"/>
      <c r="Q74" s="9" t="n"/>
      <c r="R74" s="9" t="n"/>
      <c r="S74" s="12" t="n"/>
      <c r="T74" s="12" t="n"/>
      <c r="U74" s="12" t="n"/>
      <c r="V74" s="12" t="n"/>
      <c r="W74" s="12" t="n"/>
      <c r="X74" s="12" t="n"/>
      <c r="Y74" s="9" t="n"/>
      <c r="Z74" s="12" t="n"/>
      <c r="AA74" s="24">
        <f>IF(J74="","",IFERROR(VALUE(SUBSTITUTE(SUBSTITUTE(J74,"RM",""),",",""))*IFERROR(INDEX({12,4,2,1,0},MATCH(K74,{"Monthly","Quarterly","Half-yearly","Yearly","Single"},0)),0),0))</f>
        <v/>
      </c>
    </row>
    <row r="75">
      <c r="A75" s="12" t="n"/>
      <c r="B75" s="12" t="n"/>
      <c r="C75" s="12" t="n"/>
      <c r="D75" s="12" t="n"/>
      <c r="E75" s="12" t="n"/>
      <c r="F75" s="12" t="n"/>
      <c r="G75" s="12" t="n"/>
      <c r="H75" s="20" t="n"/>
      <c r="I75" s="20" t="n"/>
      <c r="J75" s="9" t="n"/>
      <c r="K75" s="12" t="n"/>
      <c r="L75" s="9" t="n"/>
      <c r="M75" s="9" t="n"/>
      <c r="N75" s="9" t="n"/>
      <c r="O75" s="9" t="n"/>
      <c r="P75" s="9" t="n"/>
      <c r="Q75" s="9" t="n"/>
      <c r="R75" s="9" t="n"/>
      <c r="S75" s="12" t="n"/>
      <c r="T75" s="12" t="n"/>
      <c r="U75" s="12" t="n"/>
      <c r="V75" s="12" t="n"/>
      <c r="W75" s="12" t="n"/>
      <c r="X75" s="12" t="n"/>
      <c r="Y75" s="9" t="n"/>
      <c r="Z75" s="12" t="n"/>
      <c r="AA75" s="24">
        <f>IF(J75="","",IFERROR(VALUE(SUBSTITUTE(SUBSTITUTE(J75,"RM",""),",",""))*IFERROR(INDEX({12,4,2,1,0},MATCH(K75,{"Monthly","Quarterly","Half-yearly","Yearly","Single"},0)),0),0))</f>
        <v/>
      </c>
    </row>
    <row r="76">
      <c r="A76" s="12" t="n"/>
      <c r="B76" s="12" t="n"/>
      <c r="C76" s="12" t="n"/>
      <c r="D76" s="12" t="n"/>
      <c r="E76" s="12" t="n"/>
      <c r="F76" s="12" t="n"/>
      <c r="G76" s="12" t="n"/>
      <c r="H76" s="20" t="n"/>
      <c r="I76" s="20" t="n"/>
      <c r="J76" s="9" t="n"/>
      <c r="K76" s="12" t="n"/>
      <c r="L76" s="9" t="n"/>
      <c r="M76" s="9" t="n"/>
      <c r="N76" s="9" t="n"/>
      <c r="O76" s="9" t="n"/>
      <c r="P76" s="9" t="n"/>
      <c r="Q76" s="9" t="n"/>
      <c r="R76" s="9" t="n"/>
      <c r="S76" s="12" t="n"/>
      <c r="T76" s="12" t="n"/>
      <c r="U76" s="12" t="n"/>
      <c r="V76" s="12" t="n"/>
      <c r="W76" s="12" t="n"/>
      <c r="X76" s="12" t="n"/>
      <c r="Y76" s="9" t="n"/>
      <c r="Z76" s="12" t="n"/>
      <c r="AA76" s="24">
        <f>IF(J76="","",IFERROR(VALUE(SUBSTITUTE(SUBSTITUTE(J76,"RM",""),",",""))*IFERROR(INDEX({12,4,2,1,0},MATCH(K76,{"Monthly","Quarterly","Half-yearly","Yearly","Single"},0)),0),0))</f>
        <v/>
      </c>
    </row>
    <row r="77">
      <c r="A77" s="12" t="n"/>
      <c r="B77" s="12" t="n"/>
      <c r="C77" s="12" t="n"/>
      <c r="D77" s="12" t="n"/>
      <c r="E77" s="12" t="n"/>
      <c r="F77" s="12" t="n"/>
      <c r="G77" s="12" t="n"/>
      <c r="H77" s="20" t="n"/>
      <c r="I77" s="20" t="n"/>
      <c r="J77" s="9" t="n"/>
      <c r="K77" s="12" t="n"/>
      <c r="L77" s="9" t="n"/>
      <c r="M77" s="9" t="n"/>
      <c r="N77" s="9" t="n"/>
      <c r="O77" s="9" t="n"/>
      <c r="P77" s="9" t="n"/>
      <c r="Q77" s="9" t="n"/>
      <c r="R77" s="9" t="n"/>
      <c r="S77" s="12" t="n"/>
      <c r="T77" s="12" t="n"/>
      <c r="U77" s="12" t="n"/>
      <c r="V77" s="12" t="n"/>
      <c r="W77" s="12" t="n"/>
      <c r="X77" s="12" t="n"/>
      <c r="Y77" s="9" t="n"/>
      <c r="Z77" s="12" t="n"/>
      <c r="AA77" s="24">
        <f>IF(J77="","",IFERROR(VALUE(SUBSTITUTE(SUBSTITUTE(J77,"RM",""),",",""))*IFERROR(INDEX({12,4,2,1,0},MATCH(K77,{"Monthly","Quarterly","Half-yearly","Yearly","Single"},0)),0),0))</f>
        <v/>
      </c>
    </row>
    <row r="78">
      <c r="A78" s="12" t="n"/>
      <c r="B78" s="12" t="n"/>
      <c r="C78" s="12" t="n"/>
      <c r="D78" s="12" t="n"/>
      <c r="E78" s="12" t="n"/>
      <c r="F78" s="12" t="n"/>
      <c r="G78" s="12" t="n"/>
      <c r="H78" s="20" t="n"/>
      <c r="I78" s="20" t="n"/>
      <c r="J78" s="9" t="n"/>
      <c r="K78" s="12" t="n"/>
      <c r="L78" s="9" t="n"/>
      <c r="M78" s="9" t="n"/>
      <c r="N78" s="9" t="n"/>
      <c r="O78" s="9" t="n"/>
      <c r="P78" s="9" t="n"/>
      <c r="Q78" s="9" t="n"/>
      <c r="R78" s="9" t="n"/>
      <c r="S78" s="12" t="n"/>
      <c r="T78" s="12" t="n"/>
      <c r="U78" s="12" t="n"/>
      <c r="V78" s="12" t="n"/>
      <c r="W78" s="12" t="n"/>
      <c r="X78" s="12" t="n"/>
      <c r="Y78" s="9" t="n"/>
      <c r="Z78" s="12" t="n"/>
      <c r="AA78" s="24">
        <f>IF(J78="","",IFERROR(VALUE(SUBSTITUTE(SUBSTITUTE(J78,"RM",""),",",""))*IFERROR(INDEX({12,4,2,1,0},MATCH(K78,{"Monthly","Quarterly","Half-yearly","Yearly","Single"},0)),0),0))</f>
        <v/>
      </c>
    </row>
    <row r="79">
      <c r="A79" s="12" t="n"/>
      <c r="B79" s="12" t="n"/>
      <c r="C79" s="12" t="n"/>
      <c r="D79" s="12" t="n"/>
      <c r="E79" s="12" t="n"/>
      <c r="F79" s="12" t="n"/>
      <c r="G79" s="12" t="n"/>
      <c r="H79" s="20" t="n"/>
      <c r="I79" s="20" t="n"/>
      <c r="J79" s="9" t="n"/>
      <c r="K79" s="12" t="n"/>
      <c r="L79" s="9" t="n"/>
      <c r="M79" s="9" t="n"/>
      <c r="N79" s="9" t="n"/>
      <c r="O79" s="9" t="n"/>
      <c r="P79" s="9" t="n"/>
      <c r="Q79" s="9" t="n"/>
      <c r="R79" s="9" t="n"/>
      <c r="S79" s="12" t="n"/>
      <c r="T79" s="12" t="n"/>
      <c r="U79" s="12" t="n"/>
      <c r="V79" s="12" t="n"/>
      <c r="W79" s="12" t="n"/>
      <c r="X79" s="12" t="n"/>
      <c r="Y79" s="9" t="n"/>
      <c r="Z79" s="12" t="n"/>
      <c r="AA79" s="24">
        <f>IF(J79="","",IFERROR(VALUE(SUBSTITUTE(SUBSTITUTE(J79,"RM",""),",",""))*IFERROR(INDEX({12,4,2,1,0},MATCH(K79,{"Monthly","Quarterly","Half-yearly","Yearly","Single"},0)),0),0))</f>
        <v/>
      </c>
    </row>
    <row r="80">
      <c r="A80" s="12" t="n"/>
      <c r="B80" s="12" t="n"/>
      <c r="C80" s="12" t="n"/>
      <c r="D80" s="12" t="n"/>
      <c r="E80" s="12" t="n"/>
      <c r="F80" s="12" t="n"/>
      <c r="G80" s="12" t="n"/>
      <c r="H80" s="20" t="n"/>
      <c r="I80" s="20" t="n"/>
      <c r="J80" s="9" t="n"/>
      <c r="K80" s="12" t="n"/>
      <c r="L80" s="9" t="n"/>
      <c r="M80" s="9" t="n"/>
      <c r="N80" s="9" t="n"/>
      <c r="O80" s="9" t="n"/>
      <c r="P80" s="9" t="n"/>
      <c r="Q80" s="9" t="n"/>
      <c r="R80" s="9" t="n"/>
      <c r="S80" s="12" t="n"/>
      <c r="T80" s="12" t="n"/>
      <c r="U80" s="12" t="n"/>
      <c r="V80" s="12" t="n"/>
      <c r="W80" s="12" t="n"/>
      <c r="X80" s="12" t="n"/>
      <c r="Y80" s="9" t="n"/>
      <c r="Z80" s="12" t="n"/>
      <c r="AA80" s="24">
        <f>IF(J80="","",IFERROR(VALUE(SUBSTITUTE(SUBSTITUTE(J80,"RM",""),",",""))*IFERROR(INDEX({12,4,2,1,0},MATCH(K80,{"Monthly","Quarterly","Half-yearly","Yearly","Single"},0)),0),0))</f>
        <v/>
      </c>
    </row>
    <row r="81">
      <c r="A81" s="12" t="n"/>
      <c r="B81" s="12" t="n"/>
      <c r="C81" s="12" t="n"/>
      <c r="D81" s="12" t="n"/>
      <c r="E81" s="12" t="n"/>
      <c r="F81" s="12" t="n"/>
      <c r="G81" s="12" t="n"/>
      <c r="H81" s="20" t="n"/>
      <c r="I81" s="20" t="n"/>
      <c r="J81" s="9" t="n"/>
      <c r="K81" s="12" t="n"/>
      <c r="L81" s="9" t="n"/>
      <c r="M81" s="9" t="n"/>
      <c r="N81" s="9" t="n"/>
      <c r="O81" s="9" t="n"/>
      <c r="P81" s="9" t="n"/>
      <c r="Q81" s="9" t="n"/>
      <c r="R81" s="9" t="n"/>
      <c r="S81" s="12" t="n"/>
      <c r="T81" s="12" t="n"/>
      <c r="U81" s="12" t="n"/>
      <c r="V81" s="12" t="n"/>
      <c r="W81" s="12" t="n"/>
      <c r="X81" s="12" t="n"/>
      <c r="Y81" s="9" t="n"/>
      <c r="Z81" s="12" t="n"/>
      <c r="AA81" s="24">
        <f>IF(J81="","",IFERROR(VALUE(SUBSTITUTE(SUBSTITUTE(J81,"RM",""),",",""))*IFERROR(INDEX({12,4,2,1,0},MATCH(K81,{"Monthly","Quarterly","Half-yearly","Yearly","Single"},0)),0),0))</f>
        <v/>
      </c>
    </row>
    <row r="82">
      <c r="A82" s="12" t="n"/>
      <c r="B82" s="12" t="n"/>
      <c r="C82" s="12" t="n"/>
      <c r="D82" s="12" t="n"/>
      <c r="E82" s="12" t="n"/>
      <c r="F82" s="12" t="n"/>
      <c r="G82" s="12" t="n"/>
      <c r="H82" s="20" t="n"/>
      <c r="I82" s="20" t="n"/>
      <c r="J82" s="9" t="n"/>
      <c r="K82" s="12" t="n"/>
      <c r="L82" s="9" t="n"/>
      <c r="M82" s="9" t="n"/>
      <c r="N82" s="9" t="n"/>
      <c r="O82" s="9" t="n"/>
      <c r="P82" s="9" t="n"/>
      <c r="Q82" s="9" t="n"/>
      <c r="R82" s="9" t="n"/>
      <c r="S82" s="12" t="n"/>
      <c r="T82" s="12" t="n"/>
      <c r="U82" s="12" t="n"/>
      <c r="V82" s="12" t="n"/>
      <c r="W82" s="12" t="n"/>
      <c r="X82" s="12" t="n"/>
      <c r="Y82" s="9" t="n"/>
      <c r="Z82" s="12" t="n"/>
      <c r="AA82" s="24">
        <f>IF(J82="","",IFERROR(VALUE(SUBSTITUTE(SUBSTITUTE(J82,"RM",""),",",""))*IFERROR(INDEX({12,4,2,1,0},MATCH(K82,{"Monthly","Quarterly","Half-yearly","Yearly","Single"},0)),0),0))</f>
        <v/>
      </c>
    </row>
    <row r="83">
      <c r="A83" s="12" t="n"/>
      <c r="B83" s="12" t="n"/>
      <c r="C83" s="12" t="n"/>
      <c r="D83" s="12" t="n"/>
      <c r="E83" s="12" t="n"/>
      <c r="F83" s="12" t="n"/>
      <c r="G83" s="12" t="n"/>
      <c r="H83" s="20" t="n"/>
      <c r="I83" s="20" t="n"/>
      <c r="J83" s="9" t="n"/>
      <c r="K83" s="12" t="n"/>
      <c r="L83" s="9" t="n"/>
      <c r="M83" s="9" t="n"/>
      <c r="N83" s="9" t="n"/>
      <c r="O83" s="9" t="n"/>
      <c r="P83" s="9" t="n"/>
      <c r="Q83" s="9" t="n"/>
      <c r="R83" s="9" t="n"/>
      <c r="S83" s="12" t="n"/>
      <c r="T83" s="12" t="n"/>
      <c r="U83" s="12" t="n"/>
      <c r="V83" s="12" t="n"/>
      <c r="W83" s="12" t="n"/>
      <c r="X83" s="12" t="n"/>
      <c r="Y83" s="9" t="n"/>
      <c r="Z83" s="12" t="n"/>
      <c r="AA83" s="24">
        <f>IF(J83="","",IFERROR(VALUE(SUBSTITUTE(SUBSTITUTE(J83,"RM",""),",",""))*IFERROR(INDEX({12,4,2,1,0},MATCH(K83,{"Monthly","Quarterly","Half-yearly","Yearly","Single"},0)),0),0))</f>
        <v/>
      </c>
    </row>
    <row r="84">
      <c r="A84" s="12" t="n"/>
      <c r="B84" s="12" t="n"/>
      <c r="C84" s="12" t="n"/>
      <c r="D84" s="12" t="n"/>
      <c r="E84" s="12" t="n"/>
      <c r="F84" s="12" t="n"/>
      <c r="G84" s="12" t="n"/>
      <c r="H84" s="20" t="n"/>
      <c r="I84" s="20" t="n"/>
      <c r="J84" s="9" t="n"/>
      <c r="K84" s="12" t="n"/>
      <c r="L84" s="9" t="n"/>
      <c r="M84" s="9" t="n"/>
      <c r="N84" s="9" t="n"/>
      <c r="O84" s="9" t="n"/>
      <c r="P84" s="9" t="n"/>
      <c r="Q84" s="9" t="n"/>
      <c r="R84" s="9" t="n"/>
      <c r="S84" s="12" t="n"/>
      <c r="T84" s="12" t="n"/>
      <c r="U84" s="12" t="n"/>
      <c r="V84" s="12" t="n"/>
      <c r="W84" s="12" t="n"/>
      <c r="X84" s="12" t="n"/>
      <c r="Y84" s="9" t="n"/>
      <c r="Z84" s="12" t="n"/>
      <c r="AA84" s="24">
        <f>IF(J84="","",IFERROR(VALUE(SUBSTITUTE(SUBSTITUTE(J84,"RM",""),",",""))*IFERROR(INDEX({12,4,2,1,0},MATCH(K84,{"Monthly","Quarterly","Half-yearly","Yearly","Single"},0)),0),0))</f>
        <v/>
      </c>
    </row>
    <row r="85">
      <c r="A85" s="12" t="n"/>
      <c r="B85" s="12" t="n"/>
      <c r="C85" s="12" t="n"/>
      <c r="D85" s="12" t="n"/>
      <c r="E85" s="12" t="n"/>
      <c r="F85" s="12" t="n"/>
      <c r="G85" s="12" t="n"/>
      <c r="H85" s="20" t="n"/>
      <c r="I85" s="20" t="n"/>
      <c r="J85" s="9" t="n"/>
      <c r="K85" s="12" t="n"/>
      <c r="L85" s="9" t="n"/>
      <c r="M85" s="9" t="n"/>
      <c r="N85" s="9" t="n"/>
      <c r="O85" s="9" t="n"/>
      <c r="P85" s="9" t="n"/>
      <c r="Q85" s="9" t="n"/>
      <c r="R85" s="9" t="n"/>
      <c r="S85" s="12" t="n"/>
      <c r="T85" s="12" t="n"/>
      <c r="U85" s="12" t="n"/>
      <c r="V85" s="12" t="n"/>
      <c r="W85" s="12" t="n"/>
      <c r="X85" s="12" t="n"/>
      <c r="Y85" s="9" t="n"/>
      <c r="Z85" s="12" t="n"/>
      <c r="AA85" s="24">
        <f>IF(J85="","",IFERROR(VALUE(SUBSTITUTE(SUBSTITUTE(J85,"RM",""),",",""))*IFERROR(INDEX({12,4,2,1,0},MATCH(K85,{"Monthly","Quarterly","Half-yearly","Yearly","Single"},0)),0),0))</f>
        <v/>
      </c>
    </row>
    <row r="86">
      <c r="A86" s="12" t="n"/>
      <c r="B86" s="12" t="n"/>
      <c r="C86" s="12" t="n"/>
      <c r="D86" s="12" t="n"/>
      <c r="E86" s="12" t="n"/>
      <c r="F86" s="12" t="n"/>
      <c r="G86" s="12" t="n"/>
      <c r="H86" s="20" t="n"/>
      <c r="I86" s="20" t="n"/>
      <c r="J86" s="9" t="n"/>
      <c r="K86" s="12" t="n"/>
      <c r="L86" s="9" t="n"/>
      <c r="M86" s="9" t="n"/>
      <c r="N86" s="9" t="n"/>
      <c r="O86" s="9" t="n"/>
      <c r="P86" s="9" t="n"/>
      <c r="Q86" s="9" t="n"/>
      <c r="R86" s="9" t="n"/>
      <c r="S86" s="12" t="n"/>
      <c r="T86" s="12" t="n"/>
      <c r="U86" s="12" t="n"/>
      <c r="V86" s="12" t="n"/>
      <c r="W86" s="12" t="n"/>
      <c r="X86" s="12" t="n"/>
      <c r="Y86" s="9" t="n"/>
      <c r="Z86" s="12" t="n"/>
      <c r="AA86" s="24">
        <f>IF(J86="","",IFERROR(VALUE(SUBSTITUTE(SUBSTITUTE(J86,"RM",""),",",""))*IFERROR(INDEX({12,4,2,1,0},MATCH(K86,{"Monthly","Quarterly","Half-yearly","Yearly","Single"},0)),0),0))</f>
        <v/>
      </c>
    </row>
    <row r="87">
      <c r="A87" s="12" t="n"/>
      <c r="B87" s="12" t="n"/>
      <c r="C87" s="12" t="n"/>
      <c r="D87" s="12" t="n"/>
      <c r="E87" s="12" t="n"/>
      <c r="F87" s="12" t="n"/>
      <c r="G87" s="12" t="n"/>
      <c r="H87" s="20" t="n"/>
      <c r="I87" s="20" t="n"/>
      <c r="J87" s="9" t="n"/>
      <c r="K87" s="12" t="n"/>
      <c r="L87" s="9" t="n"/>
      <c r="M87" s="9" t="n"/>
      <c r="N87" s="9" t="n"/>
      <c r="O87" s="9" t="n"/>
      <c r="P87" s="9" t="n"/>
      <c r="Q87" s="9" t="n"/>
      <c r="R87" s="9" t="n"/>
      <c r="S87" s="12" t="n"/>
      <c r="T87" s="12" t="n"/>
      <c r="U87" s="12" t="n"/>
      <c r="V87" s="12" t="n"/>
      <c r="W87" s="12" t="n"/>
      <c r="X87" s="12" t="n"/>
      <c r="Y87" s="9" t="n"/>
      <c r="Z87" s="12" t="n"/>
      <c r="AA87" s="24">
        <f>IF(J87="","",IFERROR(VALUE(SUBSTITUTE(SUBSTITUTE(J87,"RM",""),",",""))*IFERROR(INDEX({12,4,2,1,0},MATCH(K87,{"Monthly","Quarterly","Half-yearly","Yearly","Single"},0)),0),0))</f>
        <v/>
      </c>
    </row>
    <row r="88">
      <c r="A88" s="12" t="n"/>
      <c r="B88" s="12" t="n"/>
      <c r="C88" s="12" t="n"/>
      <c r="D88" s="12" t="n"/>
      <c r="E88" s="12" t="n"/>
      <c r="F88" s="12" t="n"/>
      <c r="G88" s="12" t="n"/>
      <c r="H88" s="20" t="n"/>
      <c r="I88" s="20" t="n"/>
      <c r="J88" s="9" t="n"/>
      <c r="K88" s="12" t="n"/>
      <c r="L88" s="9" t="n"/>
      <c r="M88" s="9" t="n"/>
      <c r="N88" s="9" t="n"/>
      <c r="O88" s="9" t="n"/>
      <c r="P88" s="9" t="n"/>
      <c r="Q88" s="9" t="n"/>
      <c r="R88" s="9" t="n"/>
      <c r="S88" s="12" t="n"/>
      <c r="T88" s="12" t="n"/>
      <c r="U88" s="12" t="n"/>
      <c r="V88" s="12" t="n"/>
      <c r="W88" s="12" t="n"/>
      <c r="X88" s="12" t="n"/>
      <c r="Y88" s="9" t="n"/>
      <c r="Z88" s="12" t="n"/>
      <c r="AA88" s="24">
        <f>IF(J88="","",IFERROR(VALUE(SUBSTITUTE(SUBSTITUTE(J88,"RM",""),",",""))*IFERROR(INDEX({12,4,2,1,0},MATCH(K88,{"Monthly","Quarterly","Half-yearly","Yearly","Single"},0)),0),0))</f>
        <v/>
      </c>
    </row>
    <row r="89">
      <c r="A89" s="12" t="n"/>
      <c r="B89" s="12" t="n"/>
      <c r="C89" s="12" t="n"/>
      <c r="D89" s="12" t="n"/>
      <c r="E89" s="12" t="n"/>
      <c r="F89" s="12" t="n"/>
      <c r="G89" s="12" t="n"/>
      <c r="H89" s="20" t="n"/>
      <c r="I89" s="20" t="n"/>
      <c r="J89" s="9" t="n"/>
      <c r="K89" s="12" t="n"/>
      <c r="L89" s="9" t="n"/>
      <c r="M89" s="9" t="n"/>
      <c r="N89" s="9" t="n"/>
      <c r="O89" s="9" t="n"/>
      <c r="P89" s="9" t="n"/>
      <c r="Q89" s="9" t="n"/>
      <c r="R89" s="9" t="n"/>
      <c r="S89" s="12" t="n"/>
      <c r="T89" s="12" t="n"/>
      <c r="U89" s="12" t="n"/>
      <c r="V89" s="12" t="n"/>
      <c r="W89" s="12" t="n"/>
      <c r="X89" s="12" t="n"/>
      <c r="Y89" s="9" t="n"/>
      <c r="Z89" s="12" t="n"/>
      <c r="AA89" s="24">
        <f>IF(J89="","",IFERROR(VALUE(SUBSTITUTE(SUBSTITUTE(J89,"RM",""),",",""))*IFERROR(INDEX({12,4,2,1,0},MATCH(K89,{"Monthly","Quarterly","Half-yearly","Yearly","Single"},0)),0),0))</f>
        <v/>
      </c>
    </row>
    <row r="90">
      <c r="A90" s="12" t="n"/>
      <c r="B90" s="12" t="n"/>
      <c r="C90" s="12" t="n"/>
      <c r="D90" s="12" t="n"/>
      <c r="E90" s="12" t="n"/>
      <c r="F90" s="12" t="n"/>
      <c r="G90" s="12" t="n"/>
      <c r="H90" s="20" t="n"/>
      <c r="I90" s="20" t="n"/>
      <c r="J90" s="9" t="n"/>
      <c r="K90" s="12" t="n"/>
      <c r="L90" s="9" t="n"/>
      <c r="M90" s="9" t="n"/>
      <c r="N90" s="9" t="n"/>
      <c r="O90" s="9" t="n"/>
      <c r="P90" s="9" t="n"/>
      <c r="Q90" s="9" t="n"/>
      <c r="R90" s="9" t="n"/>
      <c r="S90" s="12" t="n"/>
      <c r="T90" s="12" t="n"/>
      <c r="U90" s="12" t="n"/>
      <c r="V90" s="12" t="n"/>
      <c r="W90" s="12" t="n"/>
      <c r="X90" s="12" t="n"/>
      <c r="Y90" s="9" t="n"/>
      <c r="Z90" s="12" t="n"/>
      <c r="AA90" s="24">
        <f>IF(J90="","",IFERROR(VALUE(SUBSTITUTE(SUBSTITUTE(J90,"RM",""),",",""))*IFERROR(INDEX({12,4,2,1,0},MATCH(K90,{"Monthly","Quarterly","Half-yearly","Yearly","Single"},0)),0),0))</f>
        <v/>
      </c>
    </row>
    <row r="91">
      <c r="A91" s="12" t="n"/>
      <c r="B91" s="12" t="n"/>
      <c r="C91" s="12" t="n"/>
      <c r="D91" s="12" t="n"/>
      <c r="E91" s="12" t="n"/>
      <c r="F91" s="12" t="n"/>
      <c r="G91" s="12" t="n"/>
      <c r="H91" s="20" t="n"/>
      <c r="I91" s="20" t="n"/>
      <c r="J91" s="9" t="n"/>
      <c r="K91" s="12" t="n"/>
      <c r="L91" s="9" t="n"/>
      <c r="M91" s="9" t="n"/>
      <c r="N91" s="9" t="n"/>
      <c r="O91" s="9" t="n"/>
      <c r="P91" s="9" t="n"/>
      <c r="Q91" s="9" t="n"/>
      <c r="R91" s="9" t="n"/>
      <c r="S91" s="12" t="n"/>
      <c r="T91" s="12" t="n"/>
      <c r="U91" s="12" t="n"/>
      <c r="V91" s="12" t="n"/>
      <c r="W91" s="12" t="n"/>
      <c r="X91" s="12" t="n"/>
      <c r="Y91" s="9" t="n"/>
      <c r="Z91" s="12" t="n"/>
      <c r="AA91" s="24">
        <f>IF(J91="","",IFERROR(VALUE(SUBSTITUTE(SUBSTITUTE(J91,"RM",""),",",""))*IFERROR(INDEX({12,4,2,1,0},MATCH(K91,{"Monthly","Quarterly","Half-yearly","Yearly","Single"},0)),0),0))</f>
        <v/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20" t="n"/>
      <c r="I92" s="20" t="n"/>
      <c r="J92" s="9" t="n"/>
      <c r="K92" s="12" t="n"/>
      <c r="L92" s="9" t="n"/>
      <c r="M92" s="9" t="n"/>
      <c r="N92" s="9" t="n"/>
      <c r="O92" s="9" t="n"/>
      <c r="P92" s="9" t="n"/>
      <c r="Q92" s="9" t="n"/>
      <c r="R92" s="9" t="n"/>
      <c r="S92" s="12" t="n"/>
      <c r="T92" s="12" t="n"/>
      <c r="U92" s="12" t="n"/>
      <c r="V92" s="12" t="n"/>
      <c r="W92" s="12" t="n"/>
      <c r="X92" s="12" t="n"/>
      <c r="Y92" s="9" t="n"/>
      <c r="Z92" s="12" t="n"/>
      <c r="AA92" s="24">
        <f>IF(J92="","",IFERROR(VALUE(SUBSTITUTE(SUBSTITUTE(J92,"RM",""),",",""))*IFERROR(INDEX({12,4,2,1,0},MATCH(K92,{"Monthly","Quarterly","Half-yearly","Yearly","Single"},0)),0),0))</f>
        <v/>
      </c>
    </row>
    <row r="93">
      <c r="A93" s="12" t="n"/>
      <c r="B93" s="12" t="n"/>
      <c r="C93" s="12" t="n"/>
      <c r="D93" s="12" t="n"/>
      <c r="E93" s="12" t="n"/>
      <c r="F93" s="12" t="n"/>
      <c r="G93" s="12" t="n"/>
      <c r="H93" s="20" t="n"/>
      <c r="I93" s="20" t="n"/>
      <c r="J93" s="9" t="n"/>
      <c r="K93" s="12" t="n"/>
      <c r="L93" s="9" t="n"/>
      <c r="M93" s="9" t="n"/>
      <c r="N93" s="9" t="n"/>
      <c r="O93" s="9" t="n"/>
      <c r="P93" s="9" t="n"/>
      <c r="Q93" s="9" t="n"/>
      <c r="R93" s="9" t="n"/>
      <c r="S93" s="12" t="n"/>
      <c r="T93" s="12" t="n"/>
      <c r="U93" s="12" t="n"/>
      <c r="V93" s="12" t="n"/>
      <c r="W93" s="12" t="n"/>
      <c r="X93" s="12" t="n"/>
      <c r="Y93" s="9" t="n"/>
      <c r="Z93" s="12" t="n"/>
      <c r="AA93" s="24">
        <f>IF(J93="","",IFERROR(VALUE(SUBSTITUTE(SUBSTITUTE(J93,"RM",""),",",""))*IFERROR(INDEX({12,4,2,1,0},MATCH(K93,{"Monthly","Quarterly","Half-yearly","Yearly","Single"},0)),0),0))</f>
        <v/>
      </c>
    </row>
    <row r="94">
      <c r="A94" s="12" t="n"/>
      <c r="B94" s="12" t="n"/>
      <c r="C94" s="12" t="n"/>
      <c r="D94" s="12" t="n"/>
      <c r="E94" s="12" t="n"/>
      <c r="F94" s="12" t="n"/>
      <c r="G94" s="12" t="n"/>
      <c r="H94" s="20" t="n"/>
      <c r="I94" s="20" t="n"/>
      <c r="J94" s="9" t="n"/>
      <c r="K94" s="12" t="n"/>
      <c r="L94" s="9" t="n"/>
      <c r="M94" s="9" t="n"/>
      <c r="N94" s="9" t="n"/>
      <c r="O94" s="9" t="n"/>
      <c r="P94" s="9" t="n"/>
      <c r="Q94" s="9" t="n"/>
      <c r="R94" s="9" t="n"/>
      <c r="S94" s="12" t="n"/>
      <c r="T94" s="12" t="n"/>
      <c r="U94" s="12" t="n"/>
      <c r="V94" s="12" t="n"/>
      <c r="W94" s="12" t="n"/>
      <c r="X94" s="12" t="n"/>
      <c r="Y94" s="9" t="n"/>
      <c r="Z94" s="12" t="n"/>
      <c r="AA94" s="24">
        <f>IF(J94="","",IFERROR(VALUE(SUBSTITUTE(SUBSTITUTE(J94,"RM",""),",",""))*IFERROR(INDEX({12,4,2,1,0},MATCH(K94,{"Monthly","Quarterly","Half-yearly","Yearly","Single"},0)),0),0))</f>
        <v/>
      </c>
    </row>
    <row r="95">
      <c r="A95" s="12" t="n"/>
      <c r="B95" s="12" t="n"/>
      <c r="C95" s="12" t="n"/>
      <c r="D95" s="12" t="n"/>
      <c r="E95" s="12" t="n"/>
      <c r="F95" s="12" t="n"/>
      <c r="G95" s="12" t="n"/>
      <c r="H95" s="20" t="n"/>
      <c r="I95" s="20" t="n"/>
      <c r="J95" s="9" t="n"/>
      <c r="K95" s="12" t="n"/>
      <c r="L95" s="9" t="n"/>
      <c r="M95" s="9" t="n"/>
      <c r="N95" s="9" t="n"/>
      <c r="O95" s="9" t="n"/>
      <c r="P95" s="9" t="n"/>
      <c r="Q95" s="9" t="n"/>
      <c r="R95" s="9" t="n"/>
      <c r="S95" s="12" t="n"/>
      <c r="T95" s="12" t="n"/>
      <c r="U95" s="12" t="n"/>
      <c r="V95" s="12" t="n"/>
      <c r="W95" s="12" t="n"/>
      <c r="X95" s="12" t="n"/>
      <c r="Y95" s="9" t="n"/>
      <c r="Z95" s="12" t="n"/>
      <c r="AA95" s="24">
        <f>IF(J95="","",IFERROR(VALUE(SUBSTITUTE(SUBSTITUTE(J95,"RM",""),",",""))*IFERROR(INDEX({12,4,2,1,0},MATCH(K95,{"Monthly","Quarterly","Half-yearly","Yearly","Single"},0)),0),0))</f>
        <v/>
      </c>
    </row>
    <row r="96">
      <c r="A96" s="12" t="n"/>
      <c r="B96" s="12" t="n"/>
      <c r="C96" s="12" t="n"/>
      <c r="D96" s="12" t="n"/>
      <c r="E96" s="12" t="n"/>
      <c r="F96" s="12" t="n"/>
      <c r="G96" s="12" t="n"/>
      <c r="H96" s="20" t="n"/>
      <c r="I96" s="20" t="n"/>
      <c r="J96" s="9" t="n"/>
      <c r="K96" s="12" t="n"/>
      <c r="L96" s="9" t="n"/>
      <c r="M96" s="9" t="n"/>
      <c r="N96" s="9" t="n"/>
      <c r="O96" s="9" t="n"/>
      <c r="P96" s="9" t="n"/>
      <c r="Q96" s="9" t="n"/>
      <c r="R96" s="9" t="n"/>
      <c r="S96" s="12" t="n"/>
      <c r="T96" s="12" t="n"/>
      <c r="U96" s="12" t="n"/>
      <c r="V96" s="12" t="n"/>
      <c r="W96" s="12" t="n"/>
      <c r="X96" s="12" t="n"/>
      <c r="Y96" s="9" t="n"/>
      <c r="Z96" s="12" t="n"/>
      <c r="AA96" s="24">
        <f>IF(J96="","",IFERROR(VALUE(SUBSTITUTE(SUBSTITUTE(J96,"RM",""),",",""))*IFERROR(INDEX({12,4,2,1,0},MATCH(K96,{"Monthly","Quarterly","Half-yearly","Yearly","Single"},0)),0),0))</f>
        <v/>
      </c>
    </row>
    <row r="97">
      <c r="A97" s="12" t="n"/>
      <c r="B97" s="12" t="n"/>
      <c r="C97" s="12" t="n"/>
      <c r="D97" s="12" t="n"/>
      <c r="E97" s="12" t="n"/>
      <c r="F97" s="12" t="n"/>
      <c r="G97" s="12" t="n"/>
      <c r="H97" s="20" t="n"/>
      <c r="I97" s="20" t="n"/>
      <c r="J97" s="9" t="n"/>
      <c r="K97" s="12" t="n"/>
      <c r="L97" s="9" t="n"/>
      <c r="M97" s="9" t="n"/>
      <c r="N97" s="9" t="n"/>
      <c r="O97" s="9" t="n"/>
      <c r="P97" s="9" t="n"/>
      <c r="Q97" s="9" t="n"/>
      <c r="R97" s="9" t="n"/>
      <c r="S97" s="12" t="n"/>
      <c r="T97" s="12" t="n"/>
      <c r="U97" s="12" t="n"/>
      <c r="V97" s="12" t="n"/>
      <c r="W97" s="12" t="n"/>
      <c r="X97" s="12" t="n"/>
      <c r="Y97" s="9" t="n"/>
      <c r="Z97" s="12" t="n"/>
      <c r="AA97" s="24">
        <f>IF(J97="","",IFERROR(VALUE(SUBSTITUTE(SUBSTITUTE(J97,"RM",""),",",""))*IFERROR(INDEX({12,4,2,1,0},MATCH(K97,{"Monthly","Quarterly","Half-yearly","Yearly","Single"},0)),0),0))</f>
        <v/>
      </c>
    </row>
    <row r="98">
      <c r="A98" s="12" t="n"/>
      <c r="B98" s="12" t="n"/>
      <c r="C98" s="12" t="n"/>
      <c r="D98" s="12" t="n"/>
      <c r="E98" s="12" t="n"/>
      <c r="F98" s="12" t="n"/>
      <c r="G98" s="12" t="n"/>
      <c r="H98" s="20" t="n"/>
      <c r="I98" s="20" t="n"/>
      <c r="J98" s="9" t="n"/>
      <c r="K98" s="12" t="n"/>
      <c r="L98" s="9" t="n"/>
      <c r="M98" s="9" t="n"/>
      <c r="N98" s="9" t="n"/>
      <c r="O98" s="9" t="n"/>
      <c r="P98" s="9" t="n"/>
      <c r="Q98" s="9" t="n"/>
      <c r="R98" s="9" t="n"/>
      <c r="S98" s="12" t="n"/>
      <c r="T98" s="12" t="n"/>
      <c r="U98" s="12" t="n"/>
      <c r="V98" s="12" t="n"/>
      <c r="W98" s="12" t="n"/>
      <c r="X98" s="12" t="n"/>
      <c r="Y98" s="9" t="n"/>
      <c r="Z98" s="12" t="n"/>
      <c r="AA98" s="24">
        <f>IF(J98="","",IFERROR(VALUE(SUBSTITUTE(SUBSTITUTE(J98,"RM",""),",",""))*IFERROR(INDEX({12,4,2,1,0},MATCH(K98,{"Monthly","Quarterly","Half-yearly","Yearly","Single"},0)),0),0))</f>
        <v/>
      </c>
    </row>
    <row r="99">
      <c r="A99" s="12" t="n"/>
      <c r="B99" s="12" t="n"/>
      <c r="C99" s="12" t="n"/>
      <c r="D99" s="12" t="n"/>
      <c r="E99" s="12" t="n"/>
      <c r="F99" s="12" t="n"/>
      <c r="G99" s="12" t="n"/>
      <c r="H99" s="20" t="n"/>
      <c r="I99" s="20" t="n"/>
      <c r="J99" s="9" t="n"/>
      <c r="K99" s="12" t="n"/>
      <c r="L99" s="9" t="n"/>
      <c r="M99" s="9" t="n"/>
      <c r="N99" s="9" t="n"/>
      <c r="O99" s="9" t="n"/>
      <c r="P99" s="9" t="n"/>
      <c r="Q99" s="9" t="n"/>
      <c r="R99" s="9" t="n"/>
      <c r="S99" s="12" t="n"/>
      <c r="T99" s="12" t="n"/>
      <c r="U99" s="12" t="n"/>
      <c r="V99" s="12" t="n"/>
      <c r="W99" s="12" t="n"/>
      <c r="X99" s="12" t="n"/>
      <c r="Y99" s="9" t="n"/>
      <c r="Z99" s="12" t="n"/>
      <c r="AA99" s="24">
        <f>IF(J99="","",IFERROR(VALUE(SUBSTITUTE(SUBSTITUTE(J99,"RM",""),",",""))*IFERROR(INDEX({12,4,2,1,0},MATCH(K99,{"Monthly","Quarterly","Half-yearly","Yearly","Single"},0)),0),0))</f>
        <v/>
      </c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20" t="n"/>
      <c r="I100" s="20" t="n"/>
      <c r="J100" s="9" t="n"/>
      <c r="K100" s="12" t="n"/>
      <c r="L100" s="9" t="n"/>
      <c r="M100" s="9" t="n"/>
      <c r="N100" s="9" t="n"/>
      <c r="O100" s="9" t="n"/>
      <c r="P100" s="9" t="n"/>
      <c r="Q100" s="9" t="n"/>
      <c r="R100" s="9" t="n"/>
      <c r="S100" s="12" t="n"/>
      <c r="T100" s="12" t="n"/>
      <c r="U100" s="12" t="n"/>
      <c r="V100" s="12" t="n"/>
      <c r="W100" s="12" t="n"/>
      <c r="X100" s="12" t="n"/>
      <c r="Y100" s="9" t="n"/>
      <c r="Z100" s="12" t="n"/>
      <c r="AA100" s="24">
        <f>IF(J100="","",IFERROR(VALUE(SUBSTITUTE(SUBSTITUTE(J100,"RM",""),",",""))*IFERROR(INDEX({12,4,2,1,0},MATCH(K100,{"Monthly","Quarterly","Half-yearly","Yearly","Single"},0)),0),0))</f>
        <v/>
      </c>
    </row>
  </sheetData>
  <conditionalFormatting sqref="T2:T100">
    <cfRule type="expression" priority="1" dxfId="0">
      <formula>AND($G2="Inforce",$T2="",$A2&lt;&gt;"")</formula>
    </cfRule>
  </conditionalFormatting>
  <dataValidations count="8">
    <dataValidation sqref="D2:D100" showDropDown="0" showInputMessage="0" showErrorMessage="0" allowBlank="1" type="list">
      <formula1>"Whole Life,Term Life,Investment-Linked,Medical,Critical Illness,Personal Accident,Endowment / Savings,Other"</formula1>
    </dataValidation>
    <dataValidation sqref="G2:G100" showDropDown="0" showInputMessage="0" showErrorMessage="0" allowBlank="1" type="list">
      <formula1>"Inforce,Lapsed,Paid-up,Surrendered,Matured"</formula1>
    </dataValidation>
    <dataValidation sqref="K2:K100" showDropDown="0" showInputMessage="0" showErrorMessage="0" allowBlank="1" type="list">
      <formula1>"Monthly,Quarterly,Half-yearly,Yearly,Single"</formula1>
    </dataValidation>
    <dataValidation sqref="S2:S100" showDropDown="0" showInputMessage="0" showErrorMessage="0" allowBlank="1" type="list">
      <formula1>"Yes,No"</formula1>
    </dataValidation>
    <dataValidation sqref="V2:V100" showDropDown="0" showInputMessage="0" showErrorMessage="0" allowBlank="1" type="list">
      <formula1>"Beneficiary,Hibah,Trustee,Conditional Hibah,None"</formula1>
    </dataValidation>
    <dataValidation sqref="Z2:Z100" showDropDown="0" showInputMessage="0" showErrorMessage="0" allowBlank="1" type="list">
      <formula1>"Yes,No,Not sure"</formula1>
    </dataValidation>
    <dataValidation sqref="W2:W100" showDropDown="0" showInputMessage="0" showErrorMessage="0" allowBlank="1" type="list">
      <formula1>"Family income protection,Medical &amp; hospital bills,Critical illness recovery,Retirement,Children's education,Savings &amp; wealth,Mortgage / loan protection,Estate &amp; legacy,Accident cover,Business protection"</formula1>
    </dataValidation>
    <dataValidation sqref="B2:B100" showDropDown="0" showInputMessage="0" showErrorMessage="0" allowBlank="1" type="list">
      <formula1>=Lists!$A$2:$A$26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3C2"/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26" customWidth="1" min="4" max="4"/>
    <col width="30" customWidth="1" min="5" max="5"/>
  </cols>
  <sheetData>
    <row r="1">
      <c r="A1" s="1" t="inlineStr">
        <is>
          <t>Review notes  检视记录</t>
        </is>
      </c>
    </row>
    <row r="2">
      <c r="A2" s="2" t="inlineStr">
        <is>
          <t>Filled by the app: areas to discuss, data checks and the change log.</t>
        </is>
      </c>
    </row>
    <row r="4">
      <c r="A4" s="25" t="n"/>
      <c r="B4" s="25" t="n"/>
      <c r="C4" s="25" t="n"/>
      <c r="D4" s="25" t="n"/>
      <c r="E4" s="25" t="n"/>
    </row>
    <row r="5">
      <c r="A5" s="25" t="n"/>
      <c r="B5" s="25" t="n"/>
      <c r="C5" s="25" t="n"/>
      <c r="D5" s="25" t="n"/>
      <c r="E5" s="25" t="n"/>
    </row>
    <row r="6">
      <c r="A6" s="25" t="n"/>
      <c r="B6" s="25" t="n"/>
      <c r="C6" s="25" t="n"/>
      <c r="D6" s="25" t="n"/>
      <c r="E6" s="25" t="n"/>
    </row>
    <row r="7">
      <c r="A7" s="25" t="n"/>
      <c r="B7" s="25" t="n"/>
      <c r="C7" s="25" t="n"/>
      <c r="D7" s="25" t="n"/>
      <c r="E7" s="25" t="n"/>
    </row>
    <row r="8">
      <c r="A8" s="25" t="n"/>
      <c r="B8" s="25" t="n"/>
      <c r="C8" s="25" t="n"/>
      <c r="D8" s="25" t="n"/>
      <c r="E8" s="25" t="n"/>
    </row>
    <row r="9">
      <c r="A9" s="25" t="n"/>
      <c r="B9" s="25" t="n"/>
      <c r="C9" s="25" t="n"/>
      <c r="D9" s="25" t="n"/>
      <c r="E9" s="25" t="n"/>
    </row>
    <row r="10">
      <c r="A10" s="25" t="n"/>
      <c r="B10" s="25" t="n"/>
      <c r="C10" s="25" t="n"/>
      <c r="D10" s="25" t="n"/>
      <c r="E10" s="25" t="n"/>
    </row>
    <row r="11">
      <c r="A11" s="25" t="n"/>
      <c r="B11" s="25" t="n"/>
      <c r="C11" s="25" t="n"/>
      <c r="D11" s="25" t="n"/>
      <c r="E11" s="25" t="n"/>
    </row>
    <row r="12">
      <c r="A12" s="25" t="n"/>
      <c r="B12" s="25" t="n"/>
      <c r="C12" s="25" t="n"/>
      <c r="D12" s="25" t="n"/>
      <c r="E12" s="25" t="n"/>
    </row>
    <row r="13">
      <c r="A13" s="25" t="n"/>
      <c r="B13" s="25" t="n"/>
      <c r="C13" s="25" t="n"/>
      <c r="D13" s="25" t="n"/>
      <c r="E13" s="25" t="n"/>
    </row>
    <row r="14">
      <c r="A14" s="25" t="n"/>
      <c r="B14" s="25" t="n"/>
      <c r="C14" s="25" t="n"/>
      <c r="D14" s="25" t="n"/>
      <c r="E14" s="25" t="n"/>
    </row>
    <row r="15">
      <c r="A15" s="25" t="n"/>
      <c r="B15" s="25" t="n"/>
      <c r="C15" s="25" t="n"/>
      <c r="D15" s="25" t="n"/>
      <c r="E15" s="25" t="n"/>
    </row>
    <row r="16">
      <c r="A16" s="25" t="n"/>
      <c r="B16" s="25" t="n"/>
      <c r="C16" s="25" t="n"/>
      <c r="D16" s="25" t="n"/>
      <c r="E16" s="25" t="n"/>
    </row>
    <row r="17">
      <c r="A17" s="25" t="n"/>
      <c r="B17" s="25" t="n"/>
      <c r="C17" s="25" t="n"/>
      <c r="D17" s="25" t="n"/>
      <c r="E17" s="25" t="n"/>
    </row>
    <row r="18">
      <c r="A18" s="25" t="n"/>
      <c r="B18" s="25" t="n"/>
      <c r="C18" s="25" t="n"/>
      <c r="D18" s="25" t="n"/>
      <c r="E18" s="25" t="n"/>
    </row>
    <row r="19">
      <c r="A19" s="25" t="n"/>
      <c r="B19" s="25" t="n"/>
      <c r="C19" s="25" t="n"/>
      <c r="D19" s="25" t="n"/>
      <c r="E19" s="25" t="n"/>
    </row>
    <row r="20">
      <c r="A20" s="25" t="n"/>
      <c r="B20" s="25" t="n"/>
      <c r="C20" s="25" t="n"/>
      <c r="D20" s="25" t="n"/>
      <c r="E20" s="25" t="n"/>
    </row>
    <row r="21">
      <c r="A21" s="25" t="n"/>
      <c r="B21" s="25" t="n"/>
      <c r="C21" s="25" t="n"/>
      <c r="D21" s="25" t="n"/>
      <c r="E21" s="25" t="n"/>
    </row>
    <row r="22">
      <c r="A22" s="25" t="n"/>
      <c r="B22" s="25" t="n"/>
      <c r="C22" s="25" t="n"/>
      <c r="D22" s="25" t="n"/>
      <c r="E22" s="25" t="n"/>
    </row>
    <row r="23">
      <c r="A23" s="25" t="n"/>
      <c r="B23" s="25" t="n"/>
      <c r="C23" s="25" t="n"/>
      <c r="D23" s="25" t="n"/>
      <c r="E23" s="25" t="n"/>
    </row>
    <row r="24">
      <c r="A24" s="25" t="n"/>
      <c r="B24" s="25" t="n"/>
      <c r="C24" s="25" t="n"/>
      <c r="D24" s="25" t="n"/>
      <c r="E24" s="25" t="n"/>
    </row>
    <row r="25">
      <c r="A25" s="25" t="n"/>
      <c r="B25" s="25" t="n"/>
      <c r="C25" s="25" t="n"/>
      <c r="D25" s="25" t="n"/>
      <c r="E25" s="25" t="n"/>
    </row>
    <row r="26">
      <c r="A26" s="25" t="n"/>
      <c r="B26" s="25" t="n"/>
      <c r="C26" s="25" t="n"/>
      <c r="D26" s="25" t="n"/>
      <c r="E26" s="25" t="n"/>
    </row>
    <row r="27">
      <c r="A27" s="25" t="n"/>
      <c r="B27" s="25" t="n"/>
      <c r="C27" s="25" t="n"/>
      <c r="D27" s="25" t="n"/>
      <c r="E27" s="25" t="n"/>
    </row>
    <row r="28">
      <c r="A28" s="25" t="n"/>
      <c r="B28" s="25" t="n"/>
      <c r="C28" s="25" t="n"/>
      <c r="D28" s="25" t="n"/>
      <c r="E28" s="25" t="n"/>
    </row>
    <row r="29">
      <c r="A29" s="25" t="n"/>
      <c r="B29" s="25" t="n"/>
      <c r="C29" s="25" t="n"/>
      <c r="D29" s="25" t="n"/>
      <c r="E29" s="25" t="n"/>
    </row>
    <row r="30">
      <c r="A30" s="25" t="n"/>
      <c r="B30" s="25" t="n"/>
      <c r="C30" s="25" t="n"/>
      <c r="D30" s="25" t="n"/>
      <c r="E30" s="25" t="n"/>
    </row>
    <row r="31">
      <c r="A31" s="25" t="n"/>
      <c r="B31" s="25" t="n"/>
      <c r="C31" s="25" t="n"/>
      <c r="D31" s="25" t="n"/>
      <c r="E31" s="25" t="n"/>
    </row>
    <row r="32">
      <c r="A32" s="25" t="n"/>
      <c r="B32" s="25" t="n"/>
      <c r="C32" s="25" t="n"/>
      <c r="D32" s="25" t="n"/>
      <c r="E32" s="25" t="n"/>
    </row>
    <row r="33">
      <c r="A33" s="25" t="n"/>
      <c r="B33" s="25" t="n"/>
      <c r="C33" s="25" t="n"/>
      <c r="D33" s="25" t="n"/>
      <c r="E33" s="25" t="n"/>
    </row>
    <row r="34">
      <c r="A34" s="25" t="n"/>
      <c r="B34" s="25" t="n"/>
      <c r="C34" s="25" t="n"/>
      <c r="D34" s="25" t="n"/>
      <c r="E34" s="25" t="n"/>
    </row>
    <row r="35">
      <c r="A35" s="25" t="n"/>
      <c r="B35" s="25" t="n"/>
      <c r="C35" s="25" t="n"/>
      <c r="D35" s="25" t="n"/>
      <c r="E35" s="25" t="n"/>
    </row>
    <row r="36">
      <c r="A36" s="25" t="n"/>
      <c r="B36" s="25" t="n"/>
      <c r="C36" s="25" t="n"/>
      <c r="D36" s="25" t="n"/>
      <c r="E36" s="25" t="n"/>
    </row>
    <row r="37">
      <c r="A37" s="25" t="n"/>
      <c r="B37" s="25" t="n"/>
      <c r="C37" s="25" t="n"/>
      <c r="D37" s="25" t="n"/>
      <c r="E37" s="25" t="n"/>
    </row>
    <row r="38">
      <c r="A38" s="25" t="n"/>
      <c r="B38" s="25" t="n"/>
      <c r="C38" s="25" t="n"/>
      <c r="D38" s="25" t="n"/>
      <c r="E38" s="25" t="n"/>
    </row>
    <row r="39">
      <c r="A39" s="25" t="n"/>
      <c r="B39" s="25" t="n"/>
      <c r="C39" s="25" t="n"/>
      <c r="D39" s="25" t="n"/>
      <c r="E39" s="25" t="n"/>
    </row>
    <row r="40">
      <c r="A40" s="25" t="n"/>
      <c r="B40" s="25" t="n"/>
      <c r="C40" s="25" t="n"/>
      <c r="D40" s="25" t="n"/>
      <c r="E40" s="25" t="n"/>
    </row>
    <row r="41">
      <c r="A41" s="25" t="n"/>
      <c r="B41" s="25" t="n"/>
      <c r="C41" s="25" t="n"/>
      <c r="D41" s="25" t="n"/>
      <c r="E41" s="25" t="n"/>
    </row>
    <row r="42">
      <c r="A42" s="25" t="n"/>
      <c r="B42" s="25" t="n"/>
      <c r="C42" s="25" t="n"/>
      <c r="D42" s="25" t="n"/>
      <c r="E42" s="25" t="n"/>
    </row>
    <row r="43">
      <c r="A43" s="25" t="n"/>
      <c r="B43" s="25" t="n"/>
      <c r="C43" s="25" t="n"/>
      <c r="D43" s="25" t="n"/>
      <c r="E43" s="25" t="n"/>
    </row>
    <row r="44">
      <c r="A44" s="25" t="n"/>
      <c r="B44" s="25" t="n"/>
      <c r="C44" s="25" t="n"/>
      <c r="D44" s="25" t="n"/>
      <c r="E44" s="25" t="n"/>
    </row>
    <row r="45">
      <c r="A45" s="25" t="n"/>
      <c r="B45" s="25" t="n"/>
      <c r="C45" s="25" t="n"/>
      <c r="D45" s="25" t="n"/>
      <c r="E45" s="25" t="n"/>
    </row>
    <row r="46">
      <c r="A46" s="25" t="n"/>
      <c r="B46" s="25" t="n"/>
      <c r="C46" s="25" t="n"/>
      <c r="D46" s="25" t="n"/>
      <c r="E46" s="25" t="n"/>
    </row>
    <row r="47">
      <c r="A47" s="25" t="n"/>
      <c r="B47" s="25" t="n"/>
      <c r="C47" s="25" t="n"/>
      <c r="D47" s="25" t="n"/>
      <c r="E47" s="25" t="n"/>
    </row>
    <row r="48">
      <c r="A48" s="25" t="n"/>
      <c r="B48" s="25" t="n"/>
      <c r="C48" s="25" t="n"/>
      <c r="D48" s="25" t="n"/>
      <c r="E48" s="25" t="n"/>
    </row>
    <row r="49">
      <c r="A49" s="25" t="n"/>
      <c r="B49" s="25" t="n"/>
      <c r="C49" s="25" t="n"/>
      <c r="D49" s="25" t="n"/>
      <c r="E49" s="25" t="n"/>
    </row>
    <row r="50">
      <c r="A50" s="25" t="n"/>
      <c r="B50" s="25" t="n"/>
      <c r="C50" s="25" t="n"/>
      <c r="D50" s="25" t="n"/>
      <c r="E50" s="25" t="n"/>
    </row>
    <row r="51">
      <c r="A51" s="25" t="n"/>
      <c r="B51" s="25" t="n"/>
      <c r="C51" s="25" t="n"/>
      <c r="D51" s="25" t="n"/>
      <c r="E51" s="25" t="n"/>
    </row>
    <row r="52">
      <c r="A52" s="25" t="n"/>
      <c r="B52" s="25" t="n"/>
      <c r="C52" s="25" t="n"/>
      <c r="D52" s="25" t="n"/>
      <c r="E52" s="25" t="n"/>
    </row>
    <row r="53">
      <c r="A53" s="25" t="n"/>
      <c r="B53" s="25" t="n"/>
      <c r="C53" s="25" t="n"/>
      <c r="D53" s="25" t="n"/>
      <c r="E53" s="25" t="n"/>
    </row>
    <row r="54">
      <c r="A54" s="25" t="n"/>
      <c r="B54" s="25" t="n"/>
      <c r="C54" s="25" t="n"/>
      <c r="D54" s="25" t="n"/>
      <c r="E54" s="25" t="n"/>
    </row>
    <row r="55">
      <c r="A55" s="25" t="n"/>
      <c r="B55" s="25" t="n"/>
      <c r="C55" s="25" t="n"/>
      <c r="D55" s="25" t="n"/>
      <c r="E55" s="25" t="n"/>
    </row>
    <row r="56">
      <c r="A56" s="25" t="n"/>
      <c r="B56" s="25" t="n"/>
      <c r="C56" s="25" t="n"/>
      <c r="D56" s="25" t="n"/>
      <c r="E56" s="25" t="n"/>
    </row>
    <row r="57">
      <c r="A57" s="25" t="n"/>
      <c r="B57" s="25" t="n"/>
      <c r="C57" s="25" t="n"/>
      <c r="D57" s="25" t="n"/>
      <c r="E57" s="25" t="n"/>
    </row>
    <row r="58">
      <c r="A58" s="25" t="n"/>
      <c r="B58" s="25" t="n"/>
      <c r="C58" s="25" t="n"/>
      <c r="D58" s="25" t="n"/>
      <c r="E58" s="25" t="n"/>
    </row>
    <row r="59">
      <c r="A59" s="25" t="n"/>
      <c r="B59" s="25" t="n"/>
      <c r="C59" s="25" t="n"/>
      <c r="D59" s="25" t="n"/>
      <c r="E59" s="25" t="n"/>
    </row>
    <row r="60">
      <c r="A60" s="25" t="n"/>
      <c r="B60" s="25" t="n"/>
      <c r="C60" s="25" t="n"/>
      <c r="D60" s="25" t="n"/>
      <c r="E60" s="25" t="n"/>
    </row>
    <row r="61">
      <c r="A61" s="25" t="n"/>
      <c r="B61" s="25" t="n"/>
      <c r="C61" s="25" t="n"/>
      <c r="D61" s="25" t="n"/>
      <c r="E61" s="25" t="n"/>
    </row>
    <row r="62">
      <c r="A62" s="25" t="n"/>
      <c r="B62" s="25" t="n"/>
      <c r="C62" s="25" t="n"/>
      <c r="D62" s="25" t="n"/>
      <c r="E62" s="25" t="n"/>
    </row>
    <row r="63">
      <c r="A63" s="25" t="n"/>
      <c r="B63" s="25" t="n"/>
      <c r="C63" s="25" t="n"/>
      <c r="D63" s="25" t="n"/>
      <c r="E63" s="25" t="n"/>
    </row>
    <row r="64">
      <c r="A64" s="25" t="n"/>
      <c r="B64" s="25" t="n"/>
      <c r="C64" s="25" t="n"/>
      <c r="D64" s="25" t="n"/>
      <c r="E64" s="25" t="n"/>
    </row>
    <row r="65">
      <c r="A65" s="25" t="n"/>
      <c r="B65" s="25" t="n"/>
      <c r="C65" s="25" t="n"/>
      <c r="D65" s="25" t="n"/>
      <c r="E65" s="25" t="n"/>
    </row>
    <row r="66">
      <c r="A66" s="25" t="n"/>
      <c r="B66" s="25" t="n"/>
      <c r="C66" s="25" t="n"/>
      <c r="D66" s="25" t="n"/>
      <c r="E66" s="25" t="n"/>
    </row>
    <row r="67">
      <c r="A67" s="25" t="n"/>
      <c r="B67" s="25" t="n"/>
      <c r="C67" s="25" t="n"/>
      <c r="D67" s="25" t="n"/>
      <c r="E67" s="25" t="n"/>
    </row>
    <row r="68">
      <c r="A68" s="25" t="n"/>
      <c r="B68" s="25" t="n"/>
      <c r="C68" s="25" t="n"/>
      <c r="D68" s="25" t="n"/>
      <c r="E68" s="25" t="n"/>
    </row>
    <row r="69">
      <c r="A69" s="25" t="n"/>
      <c r="B69" s="25" t="n"/>
      <c r="C69" s="25" t="n"/>
      <c r="D69" s="25" t="n"/>
      <c r="E69" s="25" t="n"/>
    </row>
    <row r="70">
      <c r="A70" s="25" t="n"/>
      <c r="B70" s="25" t="n"/>
      <c r="C70" s="25" t="n"/>
      <c r="D70" s="25" t="n"/>
      <c r="E70" s="25" t="n"/>
    </row>
    <row r="71">
      <c r="A71" s="25" t="n"/>
      <c r="B71" s="25" t="n"/>
      <c r="C71" s="25" t="n"/>
      <c r="D71" s="25" t="n"/>
      <c r="E71" s="25" t="n"/>
    </row>
    <row r="72">
      <c r="A72" s="25" t="n"/>
      <c r="B72" s="25" t="n"/>
      <c r="C72" s="25" t="n"/>
      <c r="D72" s="25" t="n"/>
      <c r="E72" s="25" t="n"/>
    </row>
    <row r="73">
      <c r="A73" s="25" t="n"/>
      <c r="B73" s="25" t="n"/>
      <c r="C73" s="25" t="n"/>
      <c r="D73" s="25" t="n"/>
      <c r="E73" s="25" t="n"/>
    </row>
    <row r="74">
      <c r="A74" s="25" t="n"/>
      <c r="B74" s="25" t="n"/>
      <c r="C74" s="25" t="n"/>
      <c r="D74" s="25" t="n"/>
      <c r="E74" s="25" t="n"/>
    </row>
    <row r="75">
      <c r="A75" s="25" t="n"/>
      <c r="B75" s="25" t="n"/>
      <c r="C75" s="25" t="n"/>
      <c r="D75" s="25" t="n"/>
      <c r="E75" s="25" t="n"/>
    </row>
    <row r="76">
      <c r="A76" s="25" t="n"/>
      <c r="B76" s="25" t="n"/>
      <c r="C76" s="25" t="n"/>
      <c r="D76" s="25" t="n"/>
      <c r="E76" s="25" t="n"/>
    </row>
    <row r="77">
      <c r="A77" s="25" t="n"/>
      <c r="B77" s="25" t="n"/>
      <c r="C77" s="25" t="n"/>
      <c r="D77" s="25" t="n"/>
      <c r="E77" s="25" t="n"/>
    </row>
    <row r="78">
      <c r="A78" s="25" t="n"/>
      <c r="B78" s="25" t="n"/>
      <c r="C78" s="25" t="n"/>
      <c r="D78" s="25" t="n"/>
      <c r="E78" s="25" t="n"/>
    </row>
    <row r="79">
      <c r="A79" s="25" t="n"/>
      <c r="B79" s="25" t="n"/>
      <c r="C79" s="25" t="n"/>
      <c r="D79" s="25" t="n"/>
      <c r="E79" s="25" t="n"/>
    </row>
    <row r="80">
      <c r="A80" s="25" t="n"/>
      <c r="B80" s="25" t="n"/>
      <c r="C80" s="25" t="n"/>
      <c r="D80" s="25" t="n"/>
      <c r="E80" s="25" t="n"/>
    </row>
    <row r="81">
      <c r="A81" s="25" t="n"/>
      <c r="B81" s="25" t="n"/>
      <c r="C81" s="25" t="n"/>
      <c r="D81" s="25" t="n"/>
      <c r="E81" s="25" t="n"/>
    </row>
    <row r="82">
      <c r="A82" s="25" t="n"/>
      <c r="B82" s="25" t="n"/>
      <c r="C82" s="25" t="n"/>
      <c r="D82" s="25" t="n"/>
      <c r="E82" s="25" t="n"/>
    </row>
    <row r="83">
      <c r="A83" s="25" t="n"/>
      <c r="B83" s="25" t="n"/>
      <c r="C83" s="25" t="n"/>
      <c r="D83" s="25" t="n"/>
      <c r="E83" s="25" t="n"/>
    </row>
    <row r="84">
      <c r="A84" s="25" t="n"/>
      <c r="B84" s="25" t="n"/>
      <c r="C84" s="25" t="n"/>
      <c r="D84" s="25" t="n"/>
      <c r="E84" s="25" t="n"/>
    </row>
    <row r="85">
      <c r="A85" s="25" t="n"/>
      <c r="B85" s="25" t="n"/>
      <c r="C85" s="25" t="n"/>
      <c r="D85" s="25" t="n"/>
      <c r="E85" s="25" t="n"/>
    </row>
    <row r="86">
      <c r="A86" s="25" t="n"/>
      <c r="B86" s="25" t="n"/>
      <c r="C86" s="25" t="n"/>
      <c r="D86" s="25" t="n"/>
      <c r="E86" s="25" t="n"/>
    </row>
    <row r="87">
      <c r="A87" s="25" t="n"/>
      <c r="B87" s="25" t="n"/>
      <c r="C87" s="25" t="n"/>
      <c r="D87" s="25" t="n"/>
      <c r="E87" s="25" t="n"/>
    </row>
    <row r="88">
      <c r="A88" s="25" t="n"/>
      <c r="B88" s="25" t="n"/>
      <c r="C88" s="25" t="n"/>
      <c r="D88" s="25" t="n"/>
      <c r="E88" s="25" t="n"/>
    </row>
    <row r="89">
      <c r="A89" s="25" t="n"/>
      <c r="B89" s="25" t="n"/>
      <c r="C89" s="25" t="n"/>
      <c r="D89" s="25" t="n"/>
      <c r="E89" s="25" t="n"/>
    </row>
    <row r="90">
      <c r="A90" s="25" t="n"/>
      <c r="B90" s="25" t="n"/>
      <c r="C90" s="25" t="n"/>
      <c r="D90" s="25" t="n"/>
      <c r="E90" s="25" t="n"/>
    </row>
    <row r="91">
      <c r="A91" s="25" t="n"/>
      <c r="B91" s="25" t="n"/>
      <c r="C91" s="25" t="n"/>
      <c r="D91" s="25" t="n"/>
      <c r="E91" s="25" t="n"/>
    </row>
    <row r="92">
      <c r="A92" s="25" t="n"/>
      <c r="B92" s="25" t="n"/>
      <c r="C92" s="25" t="n"/>
      <c r="D92" s="25" t="n"/>
      <c r="E92" s="25" t="n"/>
    </row>
    <row r="93">
      <c r="A93" s="25" t="n"/>
      <c r="B93" s="25" t="n"/>
      <c r="C93" s="25" t="n"/>
      <c r="D93" s="25" t="n"/>
      <c r="E93" s="25" t="n"/>
    </row>
    <row r="94">
      <c r="A94" s="25" t="n"/>
      <c r="B94" s="25" t="n"/>
      <c r="C94" s="25" t="n"/>
      <c r="D94" s="25" t="n"/>
      <c r="E94" s="25" t="n"/>
    </row>
    <row r="95">
      <c r="A95" s="25" t="n"/>
      <c r="B95" s="25" t="n"/>
      <c r="C95" s="25" t="n"/>
      <c r="D95" s="25" t="n"/>
      <c r="E95" s="25" t="n"/>
    </row>
    <row r="96">
      <c r="A96" s="25" t="n"/>
      <c r="B96" s="25" t="n"/>
      <c r="C96" s="25" t="n"/>
      <c r="D96" s="25" t="n"/>
      <c r="E96" s="25" t="n"/>
    </row>
    <row r="97">
      <c r="A97" s="25" t="n"/>
      <c r="B97" s="25" t="n"/>
      <c r="C97" s="25" t="n"/>
      <c r="D97" s="25" t="n"/>
      <c r="E97" s="25" t="n"/>
    </row>
    <row r="98">
      <c r="A98" s="25" t="n"/>
      <c r="B98" s="25" t="n"/>
      <c r="C98" s="25" t="n"/>
      <c r="D98" s="25" t="n"/>
      <c r="E98" s="25" t="n"/>
    </row>
    <row r="99">
      <c r="A99" s="25" t="n"/>
      <c r="B99" s="25" t="n"/>
      <c r="C99" s="25" t="n"/>
      <c r="D99" s="25" t="n"/>
      <c r="E99" s="25" t="n"/>
    </row>
    <row r="100">
      <c r="A100" s="25" t="n"/>
      <c r="B100" s="25" t="n"/>
      <c r="C100" s="25" t="n"/>
      <c r="D100" s="25" t="n"/>
      <c r="E100" s="25" t="n"/>
    </row>
    <row r="101">
      <c r="A101" s="25" t="n"/>
      <c r="B101" s="25" t="n"/>
      <c r="C101" s="25" t="n"/>
      <c r="D101" s="25" t="n"/>
      <c r="E101" s="25" t="n"/>
    </row>
    <row r="102">
      <c r="A102" s="25" t="n"/>
      <c r="B102" s="25" t="n"/>
      <c r="C102" s="25" t="n"/>
      <c r="D102" s="25" t="n"/>
      <c r="E102" s="25" t="n"/>
    </row>
    <row r="103">
      <c r="A103" s="25" t="n"/>
      <c r="B103" s="25" t="n"/>
      <c r="C103" s="25" t="n"/>
      <c r="D103" s="25" t="n"/>
      <c r="E103" s="25" t="n"/>
    </row>
    <row r="104">
      <c r="A104" s="25" t="n"/>
      <c r="B104" s="25" t="n"/>
      <c r="C104" s="25" t="n"/>
      <c r="D104" s="25" t="n"/>
      <c r="E104" s="25" t="n"/>
    </row>
    <row r="105">
      <c r="A105" s="25" t="n"/>
      <c r="B105" s="25" t="n"/>
      <c r="C105" s="25" t="n"/>
      <c r="D105" s="25" t="n"/>
      <c r="E105" s="25" t="n"/>
    </row>
    <row r="106">
      <c r="A106" s="25" t="n"/>
      <c r="B106" s="25" t="n"/>
      <c r="C106" s="25" t="n"/>
      <c r="D106" s="25" t="n"/>
      <c r="E106" s="25" t="n"/>
    </row>
    <row r="107">
      <c r="A107" s="25" t="n"/>
      <c r="B107" s="25" t="n"/>
      <c r="C107" s="25" t="n"/>
      <c r="D107" s="25" t="n"/>
      <c r="E107" s="25" t="n"/>
    </row>
    <row r="108">
      <c r="A108" s="25" t="n"/>
      <c r="B108" s="25" t="n"/>
      <c r="C108" s="25" t="n"/>
      <c r="D108" s="25" t="n"/>
      <c r="E108" s="25" t="n"/>
    </row>
    <row r="109">
      <c r="A109" s="25" t="n"/>
      <c r="B109" s="25" t="n"/>
      <c r="C109" s="25" t="n"/>
      <c r="D109" s="25" t="n"/>
      <c r="E109" s="25" t="n"/>
    </row>
    <row r="110">
      <c r="A110" s="25" t="n"/>
      <c r="B110" s="25" t="n"/>
      <c r="C110" s="25" t="n"/>
      <c r="D110" s="25" t="n"/>
      <c r="E110" s="25" t="n"/>
    </row>
    <row r="111">
      <c r="A111" s="25" t="n"/>
      <c r="B111" s="25" t="n"/>
      <c r="C111" s="25" t="n"/>
      <c r="D111" s="25" t="n"/>
      <c r="E111" s="25" t="n"/>
    </row>
    <row r="112">
      <c r="A112" s="25" t="n"/>
      <c r="B112" s="25" t="n"/>
      <c r="C112" s="25" t="n"/>
      <c r="D112" s="25" t="n"/>
      <c r="E112" s="25" t="n"/>
    </row>
    <row r="113">
      <c r="A113" s="25" t="n"/>
      <c r="B113" s="25" t="n"/>
      <c r="C113" s="25" t="n"/>
      <c r="D113" s="25" t="n"/>
      <c r="E113" s="25" t="n"/>
    </row>
    <row r="114">
      <c r="A114" s="25" t="n"/>
      <c r="B114" s="25" t="n"/>
      <c r="C114" s="25" t="n"/>
      <c r="D114" s="25" t="n"/>
      <c r="E114" s="25" t="n"/>
    </row>
    <row r="115">
      <c r="A115" s="25" t="n"/>
      <c r="B115" s="25" t="n"/>
      <c r="C115" s="25" t="n"/>
      <c r="D115" s="25" t="n"/>
      <c r="E115" s="25" t="n"/>
    </row>
    <row r="116">
      <c r="A116" s="25" t="n"/>
      <c r="B116" s="25" t="n"/>
      <c r="C116" s="25" t="n"/>
      <c r="D116" s="25" t="n"/>
      <c r="E116" s="25" t="n"/>
    </row>
    <row r="117">
      <c r="A117" s="25" t="n"/>
      <c r="B117" s="25" t="n"/>
      <c r="C117" s="25" t="n"/>
      <c r="D117" s="25" t="n"/>
      <c r="E117" s="25" t="n"/>
    </row>
    <row r="118">
      <c r="A118" s="25" t="n"/>
      <c r="B118" s="25" t="n"/>
      <c r="C118" s="25" t="n"/>
      <c r="D118" s="25" t="n"/>
      <c r="E118" s="25" t="n"/>
    </row>
    <row r="119">
      <c r="A119" s="25" t="n"/>
      <c r="B119" s="25" t="n"/>
      <c r="C119" s="25" t="n"/>
      <c r="D119" s="25" t="n"/>
      <c r="E119" s="25" t="n"/>
    </row>
    <row r="120">
      <c r="A120" s="25" t="n"/>
      <c r="B120" s="25" t="n"/>
      <c r="C120" s="25" t="n"/>
      <c r="D120" s="25" t="n"/>
      <c r="E120" s="25" t="n"/>
    </row>
    <row r="121">
      <c r="A121" s="25" t="n"/>
      <c r="B121" s="25" t="n"/>
      <c r="C121" s="25" t="n"/>
      <c r="D121" s="25" t="n"/>
      <c r="E121" s="25" t="n"/>
    </row>
    <row r="122">
      <c r="A122" s="25" t="n"/>
      <c r="B122" s="25" t="n"/>
      <c r="C122" s="25" t="n"/>
      <c r="D122" s="25" t="n"/>
      <c r="E122" s="25" t="n"/>
    </row>
    <row r="123">
      <c r="A123" s="25" t="n"/>
      <c r="B123" s="25" t="n"/>
      <c r="C123" s="25" t="n"/>
      <c r="D123" s="25" t="n"/>
      <c r="E123" s="25" t="n"/>
    </row>
    <row r="124">
      <c r="A124" s="25" t="n"/>
      <c r="B124" s="25" t="n"/>
      <c r="C124" s="25" t="n"/>
      <c r="D124" s="25" t="n"/>
      <c r="E124" s="25" t="n"/>
    </row>
    <row r="125">
      <c r="A125" s="25" t="n"/>
      <c r="B125" s="25" t="n"/>
      <c r="C125" s="25" t="n"/>
      <c r="D125" s="25" t="n"/>
      <c r="E125" s="25" t="n"/>
    </row>
    <row r="126">
      <c r="A126" s="25" t="n"/>
      <c r="B126" s="25" t="n"/>
      <c r="C126" s="25" t="n"/>
      <c r="D126" s="25" t="n"/>
      <c r="E126" s="25" t="n"/>
    </row>
    <row r="127">
      <c r="A127" s="25" t="n"/>
      <c r="B127" s="25" t="n"/>
      <c r="C127" s="25" t="n"/>
      <c r="D127" s="25" t="n"/>
      <c r="E127" s="25" t="n"/>
    </row>
    <row r="128">
      <c r="A128" s="25" t="n"/>
      <c r="B128" s="25" t="n"/>
      <c r="C128" s="25" t="n"/>
      <c r="D128" s="25" t="n"/>
      <c r="E128" s="25" t="n"/>
    </row>
    <row r="129">
      <c r="A129" s="25" t="n"/>
      <c r="B129" s="25" t="n"/>
      <c r="C129" s="25" t="n"/>
      <c r="D129" s="25" t="n"/>
      <c r="E129" s="25" t="n"/>
    </row>
    <row r="130">
      <c r="A130" s="25" t="n"/>
      <c r="B130" s="25" t="n"/>
      <c r="C130" s="25" t="n"/>
      <c r="D130" s="25" t="n"/>
      <c r="E130" s="25" t="n"/>
    </row>
    <row r="131">
      <c r="A131" s="25" t="n"/>
      <c r="B131" s="25" t="n"/>
      <c r="C131" s="25" t="n"/>
      <c r="D131" s="25" t="n"/>
      <c r="E131" s="25" t="n"/>
    </row>
    <row r="132">
      <c r="A132" s="25" t="n"/>
      <c r="B132" s="25" t="n"/>
      <c r="C132" s="25" t="n"/>
      <c r="D132" s="25" t="n"/>
      <c r="E132" s="25" t="n"/>
    </row>
    <row r="133">
      <c r="A133" s="25" t="n"/>
      <c r="B133" s="25" t="n"/>
      <c r="C133" s="25" t="n"/>
      <c r="D133" s="25" t="n"/>
      <c r="E133" s="25" t="n"/>
    </row>
    <row r="134">
      <c r="A134" s="25" t="n"/>
      <c r="B134" s="25" t="n"/>
      <c r="C134" s="25" t="n"/>
      <c r="D134" s="25" t="n"/>
      <c r="E134" s="25" t="n"/>
    </row>
    <row r="135">
      <c r="A135" s="25" t="n"/>
      <c r="B135" s="25" t="n"/>
      <c r="C135" s="25" t="n"/>
      <c r="D135" s="25" t="n"/>
      <c r="E135" s="25" t="n"/>
    </row>
    <row r="136">
      <c r="A136" s="25" t="n"/>
      <c r="B136" s="25" t="n"/>
      <c r="C136" s="25" t="n"/>
      <c r="D136" s="25" t="n"/>
      <c r="E136" s="25" t="n"/>
    </row>
    <row r="137">
      <c r="A137" s="25" t="n"/>
      <c r="B137" s="25" t="n"/>
      <c r="C137" s="25" t="n"/>
      <c r="D137" s="25" t="n"/>
      <c r="E137" s="25" t="n"/>
    </row>
    <row r="138">
      <c r="A138" s="25" t="n"/>
      <c r="B138" s="25" t="n"/>
      <c r="C138" s="25" t="n"/>
      <c r="D138" s="25" t="n"/>
      <c r="E138" s="25" t="n"/>
    </row>
    <row r="139">
      <c r="A139" s="25" t="n"/>
      <c r="B139" s="25" t="n"/>
      <c r="C139" s="25" t="n"/>
      <c r="D139" s="25" t="n"/>
      <c r="E139" s="25" t="n"/>
    </row>
    <row r="140">
      <c r="A140" s="25" t="n"/>
      <c r="B140" s="25" t="n"/>
      <c r="C140" s="25" t="n"/>
      <c r="D140" s="25" t="n"/>
      <c r="E140" s="25" t="n"/>
    </row>
    <row r="141">
      <c r="A141" s="25" t="n"/>
      <c r="B141" s="25" t="n"/>
      <c r="C141" s="25" t="n"/>
      <c r="D141" s="25" t="n"/>
      <c r="E141" s="25" t="n"/>
    </row>
    <row r="142">
      <c r="A142" s="25" t="n"/>
      <c r="B142" s="25" t="n"/>
      <c r="C142" s="25" t="n"/>
      <c r="D142" s="25" t="n"/>
      <c r="E142" s="25" t="n"/>
    </row>
    <row r="143">
      <c r="A143" s="25" t="n"/>
      <c r="B143" s="25" t="n"/>
      <c r="C143" s="25" t="n"/>
      <c r="D143" s="25" t="n"/>
      <c r="E143" s="25" t="n"/>
    </row>
    <row r="144">
      <c r="A144" s="25" t="n"/>
      <c r="B144" s="25" t="n"/>
      <c r="C144" s="25" t="n"/>
      <c r="D144" s="25" t="n"/>
      <c r="E144" s="25" t="n"/>
    </row>
    <row r="145">
      <c r="A145" s="25" t="n"/>
      <c r="B145" s="25" t="n"/>
      <c r="C145" s="25" t="n"/>
      <c r="D145" s="25" t="n"/>
      <c r="E145" s="25" t="n"/>
    </row>
    <row r="146">
      <c r="A146" s="25" t="n"/>
      <c r="B146" s="25" t="n"/>
      <c r="C146" s="25" t="n"/>
      <c r="D146" s="25" t="n"/>
      <c r="E146" s="25" t="n"/>
    </row>
    <row r="147">
      <c r="A147" s="25" t="n"/>
      <c r="B147" s="25" t="n"/>
      <c r="C147" s="25" t="n"/>
      <c r="D147" s="25" t="n"/>
      <c r="E147" s="25" t="n"/>
    </row>
    <row r="148">
      <c r="A148" s="25" t="n"/>
      <c r="B148" s="25" t="n"/>
      <c r="C148" s="25" t="n"/>
      <c r="D148" s="25" t="n"/>
      <c r="E148" s="25" t="n"/>
    </row>
    <row r="149">
      <c r="A149" s="25" t="n"/>
      <c r="B149" s="25" t="n"/>
      <c r="C149" s="25" t="n"/>
      <c r="D149" s="25" t="n"/>
      <c r="E149" s="25" t="n"/>
    </row>
    <row r="150">
      <c r="A150" s="25" t="n"/>
      <c r="B150" s="25" t="n"/>
      <c r="C150" s="25" t="n"/>
      <c r="D150" s="25" t="n"/>
      <c r="E150" s="25" t="n"/>
    </row>
    <row r="151">
      <c r="A151" s="25" t="n"/>
      <c r="B151" s="25" t="n"/>
      <c r="C151" s="25" t="n"/>
      <c r="D151" s="25" t="n"/>
      <c r="E151" s="25" t="n"/>
    </row>
    <row r="152">
      <c r="A152" s="25" t="n"/>
      <c r="B152" s="25" t="n"/>
      <c r="C152" s="25" t="n"/>
      <c r="D152" s="25" t="n"/>
      <c r="E152" s="25" t="n"/>
    </row>
    <row r="153">
      <c r="A153" s="25" t="n"/>
      <c r="B153" s="25" t="n"/>
      <c r="C153" s="25" t="n"/>
      <c r="D153" s="25" t="n"/>
      <c r="E153" s="25" t="n"/>
    </row>
    <row r="154">
      <c r="A154" s="25" t="n"/>
      <c r="B154" s="25" t="n"/>
      <c r="C154" s="25" t="n"/>
      <c r="D154" s="25" t="n"/>
      <c r="E154" s="25" t="n"/>
    </row>
    <row r="155">
      <c r="A155" s="25" t="n"/>
      <c r="B155" s="25" t="n"/>
      <c r="C155" s="25" t="n"/>
      <c r="D155" s="25" t="n"/>
      <c r="E155" s="25" t="n"/>
    </row>
    <row r="156">
      <c r="A156" s="25" t="n"/>
      <c r="B156" s="25" t="n"/>
      <c r="C156" s="25" t="n"/>
      <c r="D156" s="25" t="n"/>
      <c r="E156" s="25" t="n"/>
    </row>
    <row r="157">
      <c r="A157" s="25" t="n"/>
      <c r="B157" s="25" t="n"/>
      <c r="C157" s="25" t="n"/>
      <c r="D157" s="25" t="n"/>
      <c r="E157" s="25" t="n"/>
    </row>
    <row r="158">
      <c r="A158" s="25" t="n"/>
      <c r="B158" s="25" t="n"/>
      <c r="C158" s="25" t="n"/>
      <c r="D158" s="25" t="n"/>
      <c r="E158" s="25" t="n"/>
    </row>
    <row r="159">
      <c r="A159" s="25" t="n"/>
      <c r="B159" s="25" t="n"/>
      <c r="C159" s="25" t="n"/>
      <c r="D159" s="25" t="n"/>
      <c r="E159" s="25" t="n"/>
    </row>
    <row r="160">
      <c r="A160" s="25" t="n"/>
      <c r="B160" s="25" t="n"/>
      <c r="C160" s="25" t="n"/>
      <c r="D160" s="25" t="n"/>
      <c r="E160" s="25" t="n"/>
    </row>
    <row r="161">
      <c r="A161" s="25" t="n"/>
      <c r="B161" s="25" t="n"/>
      <c r="C161" s="25" t="n"/>
      <c r="D161" s="25" t="n"/>
      <c r="E161" s="25" t="n"/>
    </row>
    <row r="162">
      <c r="A162" s="25" t="n"/>
      <c r="B162" s="25" t="n"/>
      <c r="C162" s="25" t="n"/>
      <c r="D162" s="25" t="n"/>
      <c r="E162" s="25" t="n"/>
    </row>
    <row r="163">
      <c r="A163" s="25" t="n"/>
      <c r="B163" s="25" t="n"/>
      <c r="C163" s="25" t="n"/>
      <c r="D163" s="25" t="n"/>
      <c r="E163" s="25" t="n"/>
    </row>
    <row r="164">
      <c r="A164" s="25" t="n"/>
      <c r="B164" s="25" t="n"/>
      <c r="C164" s="25" t="n"/>
      <c r="D164" s="25" t="n"/>
      <c r="E164" s="25" t="n"/>
    </row>
    <row r="165">
      <c r="A165" s="25" t="n"/>
      <c r="B165" s="25" t="n"/>
      <c r="C165" s="25" t="n"/>
      <c r="D165" s="25" t="n"/>
      <c r="E165" s="25" t="n"/>
    </row>
    <row r="166">
      <c r="A166" s="25" t="n"/>
      <c r="B166" s="25" t="n"/>
      <c r="C166" s="25" t="n"/>
      <c r="D166" s="25" t="n"/>
      <c r="E166" s="25" t="n"/>
    </row>
    <row r="167">
      <c r="A167" s="25" t="n"/>
      <c r="B167" s="25" t="n"/>
      <c r="C167" s="25" t="n"/>
      <c r="D167" s="25" t="n"/>
      <c r="E167" s="25" t="n"/>
    </row>
    <row r="168">
      <c r="A168" s="25" t="n"/>
      <c r="B168" s="25" t="n"/>
      <c r="C168" s="25" t="n"/>
      <c r="D168" s="25" t="n"/>
      <c r="E168" s="25" t="n"/>
    </row>
    <row r="169">
      <c r="A169" s="25" t="n"/>
      <c r="B169" s="25" t="n"/>
      <c r="C169" s="25" t="n"/>
      <c r="D169" s="25" t="n"/>
      <c r="E169" s="25" t="n"/>
    </row>
    <row r="170">
      <c r="A170" s="25" t="n"/>
      <c r="B170" s="25" t="n"/>
      <c r="C170" s="25" t="n"/>
      <c r="D170" s="25" t="n"/>
      <c r="E170" s="25" t="n"/>
    </row>
    <row r="171">
      <c r="A171" s="25" t="n"/>
      <c r="B171" s="25" t="n"/>
      <c r="C171" s="25" t="n"/>
      <c r="D171" s="25" t="n"/>
      <c r="E171" s="25" t="n"/>
    </row>
    <row r="172">
      <c r="A172" s="25" t="n"/>
      <c r="B172" s="25" t="n"/>
      <c r="C172" s="25" t="n"/>
      <c r="D172" s="25" t="n"/>
      <c r="E172" s="25" t="n"/>
    </row>
    <row r="173">
      <c r="A173" s="25" t="n"/>
      <c r="B173" s="25" t="n"/>
      <c r="C173" s="25" t="n"/>
      <c r="D173" s="25" t="n"/>
      <c r="E173" s="25" t="n"/>
    </row>
    <row r="174">
      <c r="A174" s="25" t="n"/>
      <c r="B174" s="25" t="n"/>
      <c r="C174" s="25" t="n"/>
      <c r="D174" s="25" t="n"/>
      <c r="E174" s="25" t="n"/>
    </row>
    <row r="175">
      <c r="A175" s="25" t="n"/>
      <c r="B175" s="25" t="n"/>
      <c r="C175" s="25" t="n"/>
      <c r="D175" s="25" t="n"/>
      <c r="E175" s="25" t="n"/>
    </row>
    <row r="176">
      <c r="A176" s="25" t="n"/>
      <c r="B176" s="25" t="n"/>
      <c r="C176" s="25" t="n"/>
      <c r="D176" s="25" t="n"/>
      <c r="E176" s="25" t="n"/>
    </row>
    <row r="177">
      <c r="A177" s="25" t="n"/>
      <c r="B177" s="25" t="n"/>
      <c r="C177" s="25" t="n"/>
      <c r="D177" s="25" t="n"/>
      <c r="E177" s="25" t="n"/>
    </row>
    <row r="178">
      <c r="A178" s="25" t="n"/>
      <c r="B178" s="25" t="n"/>
      <c r="C178" s="25" t="n"/>
      <c r="D178" s="25" t="n"/>
      <c r="E178" s="25" t="n"/>
    </row>
    <row r="179">
      <c r="A179" s="25" t="n"/>
      <c r="B179" s="25" t="n"/>
      <c r="C179" s="25" t="n"/>
      <c r="D179" s="25" t="n"/>
      <c r="E179" s="25" t="n"/>
    </row>
    <row r="180">
      <c r="A180" s="25" t="n"/>
      <c r="B180" s="25" t="n"/>
      <c r="C180" s="25" t="n"/>
      <c r="D180" s="25" t="n"/>
      <c r="E180" s="25" t="n"/>
    </row>
    <row r="181">
      <c r="A181" s="25" t="n"/>
      <c r="B181" s="25" t="n"/>
      <c r="C181" s="25" t="n"/>
      <c r="D181" s="25" t="n"/>
      <c r="E181" s="25" t="n"/>
    </row>
    <row r="182">
      <c r="A182" s="25" t="n"/>
      <c r="B182" s="25" t="n"/>
      <c r="C182" s="25" t="n"/>
      <c r="D182" s="25" t="n"/>
      <c r="E182" s="25" t="n"/>
    </row>
    <row r="183">
      <c r="A183" s="25" t="n"/>
      <c r="B183" s="25" t="n"/>
      <c r="C183" s="25" t="n"/>
      <c r="D183" s="25" t="n"/>
      <c r="E183" s="25" t="n"/>
    </row>
    <row r="184">
      <c r="A184" s="25" t="n"/>
      <c r="B184" s="25" t="n"/>
      <c r="C184" s="25" t="n"/>
      <c r="D184" s="25" t="n"/>
      <c r="E184" s="25" t="n"/>
    </row>
    <row r="185">
      <c r="A185" s="25" t="n"/>
      <c r="B185" s="25" t="n"/>
      <c r="C185" s="25" t="n"/>
      <c r="D185" s="25" t="n"/>
      <c r="E185" s="25" t="n"/>
    </row>
    <row r="186">
      <c r="A186" s="25" t="n"/>
      <c r="B186" s="25" t="n"/>
      <c r="C186" s="25" t="n"/>
      <c r="D186" s="25" t="n"/>
      <c r="E186" s="25" t="n"/>
    </row>
    <row r="187">
      <c r="A187" s="25" t="n"/>
      <c r="B187" s="25" t="n"/>
      <c r="C187" s="25" t="n"/>
      <c r="D187" s="25" t="n"/>
      <c r="E187" s="25" t="n"/>
    </row>
    <row r="188">
      <c r="A188" s="25" t="n"/>
      <c r="B188" s="25" t="n"/>
      <c r="C188" s="25" t="n"/>
      <c r="D188" s="25" t="n"/>
      <c r="E188" s="25" t="n"/>
    </row>
    <row r="189">
      <c r="A189" s="25" t="n"/>
      <c r="B189" s="25" t="n"/>
      <c r="C189" s="25" t="n"/>
      <c r="D189" s="25" t="n"/>
      <c r="E189" s="25" t="n"/>
    </row>
    <row r="190">
      <c r="A190" s="25" t="n"/>
      <c r="B190" s="25" t="n"/>
      <c r="C190" s="25" t="n"/>
      <c r="D190" s="25" t="n"/>
      <c r="E190" s="25" t="n"/>
    </row>
    <row r="191">
      <c r="A191" s="25" t="n"/>
      <c r="B191" s="25" t="n"/>
      <c r="C191" s="25" t="n"/>
      <c r="D191" s="25" t="n"/>
      <c r="E191" s="25" t="n"/>
    </row>
    <row r="192">
      <c r="A192" s="25" t="n"/>
      <c r="B192" s="25" t="n"/>
      <c r="C192" s="25" t="n"/>
      <c r="D192" s="25" t="n"/>
      <c r="E192" s="25" t="n"/>
    </row>
    <row r="193">
      <c r="A193" s="25" t="n"/>
      <c r="B193" s="25" t="n"/>
      <c r="C193" s="25" t="n"/>
      <c r="D193" s="25" t="n"/>
      <c r="E193" s="25" t="n"/>
    </row>
    <row r="194">
      <c r="A194" s="25" t="n"/>
      <c r="B194" s="25" t="n"/>
      <c r="C194" s="25" t="n"/>
      <c r="D194" s="25" t="n"/>
      <c r="E194" s="25" t="n"/>
    </row>
    <row r="195">
      <c r="A195" s="25" t="n"/>
      <c r="B195" s="25" t="n"/>
      <c r="C195" s="25" t="n"/>
      <c r="D195" s="25" t="n"/>
      <c r="E195" s="25" t="n"/>
    </row>
    <row r="196">
      <c r="A196" s="25" t="n"/>
      <c r="B196" s="25" t="n"/>
      <c r="C196" s="25" t="n"/>
      <c r="D196" s="25" t="n"/>
      <c r="E196" s="25" t="n"/>
    </row>
    <row r="197">
      <c r="A197" s="25" t="n"/>
      <c r="B197" s="25" t="n"/>
      <c r="C197" s="25" t="n"/>
      <c r="D197" s="25" t="n"/>
      <c r="E197" s="25" t="n"/>
    </row>
    <row r="198">
      <c r="A198" s="25" t="n"/>
      <c r="B198" s="25" t="n"/>
      <c r="C198" s="25" t="n"/>
      <c r="D198" s="25" t="n"/>
      <c r="E198" s="25" t="n"/>
    </row>
    <row r="199">
      <c r="A199" s="25" t="n"/>
      <c r="B199" s="25" t="n"/>
      <c r="C199" s="25" t="n"/>
      <c r="D199" s="25" t="n"/>
      <c r="E199" s="25" t="n"/>
    </row>
    <row r="200">
      <c r="A200" s="25" t="n"/>
      <c r="B200" s="25" t="n"/>
      <c r="C200" s="25" t="n"/>
      <c r="D200" s="25" t="n"/>
      <c r="E200" s="2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6" t="inlineStr">
        <is>
          <t>HOW TO USE  使用方法</t>
        </is>
      </c>
    </row>
    <row r="2">
      <c r="A2" s="27" t="inlineStr">
        <is>
          <t>1. Client sheet: fill client name, income, review date. Review standard is RM1m for Life, CI, Retirement, Medical - adjust if needed.</t>
        </is>
      </c>
    </row>
    <row r="3">
      <c r="A3" s="27" t="inlineStr">
        <is>
          <t>2. Policies sheet: one row per policy. Use the dropdowns for Type, Status, Payment Mode.</t>
        </is>
      </c>
    </row>
    <row r="4">
      <c r="A4" s="27" t="inlineStr">
        <is>
          <t>3. Leave a cell BLANK if you don't know it. Never type a guess - the app flags blanks for you to confirm.</t>
        </is>
      </c>
    </row>
    <row r="5">
      <c r="A5" s="27" t="inlineStr">
        <is>
          <t>4. Dashboard sheet updates automatically (Excel-only version).</t>
        </is>
      </c>
    </row>
    <row r="6">
      <c r="A6" s="27" t="inlineStr">
        <is>
          <t>5. For the visual PDF report: open 'Policy Review Snapshot.html', load this file, click 'Generate'.</t>
        </is>
      </c>
    </row>
    <row r="7">
      <c r="A7" s="27" t="inlineStr"/>
    </row>
    <row r="8">
      <c r="A8" s="27" t="inlineStr">
        <is>
          <t>Pink nominee cell = inforce policy without nominee recorded.</t>
        </is>
      </c>
    </row>
    <row r="9">
      <c r="A9" s="27" t="inlineStr">
        <is>
          <t>Only Inforce policies count toward coverage totals. Lapsed/Paid-up are listed separately.</t>
        </is>
      </c>
    </row>
    <row r="10">
      <c r="A10" s="27" t="inlineStr">
        <is>
          <t>The rows marked (sample) are fictional - delete them before using with a real client.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 (Malaysia life &amp; family takaful)</t>
        </is>
      </c>
    </row>
    <row r="2">
      <c r="A2" t="inlineStr">
        <is>
          <t>AIA</t>
        </is>
      </c>
    </row>
    <row r="3">
      <c r="A3" t="inlineStr">
        <is>
          <t>Allianz Life</t>
        </is>
      </c>
    </row>
    <row r="4">
      <c r="A4" t="inlineStr">
        <is>
          <t>AmMetLife</t>
        </is>
      </c>
    </row>
    <row r="5">
      <c r="A5" t="inlineStr">
        <is>
          <t>Etiqa Life</t>
        </is>
      </c>
    </row>
    <row r="6">
      <c r="A6" t="inlineStr">
        <is>
          <t>FWD Insurance</t>
        </is>
      </c>
    </row>
    <row r="7">
      <c r="A7" t="inlineStr">
        <is>
          <t>Generali Life</t>
        </is>
      </c>
    </row>
    <row r="8">
      <c r="A8" t="inlineStr">
        <is>
          <t>Great Eastern Life</t>
        </is>
      </c>
    </row>
    <row r="9">
      <c r="A9" t="inlineStr">
        <is>
          <t>Hong Leong Assurance</t>
        </is>
      </c>
    </row>
    <row r="10">
      <c r="A10" t="inlineStr">
        <is>
          <t>Manulife</t>
        </is>
      </c>
    </row>
    <row r="11">
      <c r="A11" t="inlineStr">
        <is>
          <t>MCIS</t>
        </is>
      </c>
    </row>
    <row r="12">
      <c r="A12" t="inlineStr">
        <is>
          <t>Prudential Assurance</t>
        </is>
      </c>
    </row>
    <row r="13">
      <c r="A13" t="inlineStr">
        <is>
          <t>Sun Life Malaysia</t>
        </is>
      </c>
    </row>
    <row r="14">
      <c r="A14" t="inlineStr">
        <is>
          <t>Tokio Marine Life</t>
        </is>
      </c>
    </row>
    <row r="15">
      <c r="A15" t="inlineStr">
        <is>
          <t>Zurich Life</t>
        </is>
      </c>
    </row>
    <row r="16">
      <c r="A16" t="inlineStr">
        <is>
          <t>AIA PUBLIC Takaful</t>
        </is>
      </c>
    </row>
    <row r="17">
      <c r="A17" t="inlineStr">
        <is>
          <t>AmMetLife Takaful</t>
        </is>
      </c>
    </row>
    <row r="18">
      <c r="A18" t="inlineStr">
        <is>
          <t>Etiqa Family Takaful</t>
        </is>
      </c>
    </row>
    <row r="19">
      <c r="A19" t="inlineStr">
        <is>
          <t>FWD Takaful</t>
        </is>
      </c>
    </row>
    <row r="20">
      <c r="A20" t="inlineStr">
        <is>
          <t>Great Eastern Takaful</t>
        </is>
      </c>
    </row>
    <row r="21">
      <c r="A21" t="inlineStr">
        <is>
          <t>Hong Leong MSIG Takaful</t>
        </is>
      </c>
    </row>
    <row r="22">
      <c r="A22" t="inlineStr">
        <is>
          <t>Prudential BSN Takaful</t>
        </is>
      </c>
    </row>
    <row r="23">
      <c r="A23" t="inlineStr">
        <is>
          <t>Sun Life Malaysia Takaful</t>
        </is>
      </c>
    </row>
    <row r="24">
      <c r="A24" t="inlineStr">
        <is>
          <t>Takaful Malaysia (Keluarga)</t>
        </is>
      </c>
    </row>
    <row r="25">
      <c r="A25" t="inlineStr">
        <is>
          <t>Takaful Ikhlas Family</t>
        </is>
      </c>
    </row>
    <row r="26">
      <c r="A26" t="inlineStr">
        <is>
          <t>Zurich Takaful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2026-10-30T23:43:26Z</dcterms:created>
  <dcterms:modified xmlns:dcterms="http://purl.org/dc/terms/" xmlns:xsi="http://www.w3.org/2001/XMLSchema-instance" xsi:type="dcterms:W3CDTF">2026-10-30T23:43:26Z</dcterms:modified>
</cp:coreProperties>
</file>